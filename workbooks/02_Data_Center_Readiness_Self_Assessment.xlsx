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3bdbb826b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s" sheetId="1" r:id="R606e307623de4fa8"/>
    <x:sheet xmlns:r="http://schemas.openxmlformats.org/officeDocument/2006/relationships" name="Dashboard" sheetId="2" r:id="R67b6b785b6ae4544"/>
    <x:sheet xmlns:r="http://schemas.openxmlformats.org/officeDocument/2006/relationships" name="Tests" sheetId="3" r:id="R4db8aeb6e143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53546"/>
      <x:name val="Carlito"/>
    </x:font>
    <x:font>
      <x:b/>
      <x:sz val="10"/>
      <x:color rgb="FFFFFFFF"/>
      <x:name val="Carlito"/>
    </x:font>
    <x:font>
      <x:b/>
      <x:sz val="11"/>
      <x:color rgb="FF2535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538"/>
      </x:patternFill>
    </x:fill>
    <x:fill>
      <x:patternFill patternType="solid">
        <x:fgColor rgb="FFD9F1F2"/>
      </x:patternFill>
    </x:fill>
    <x:fill>
      <x:patternFill patternType="solid">
        <x:fgColor rgb="FF136B76"/>
      </x:patternFill>
    </x:fill>
    <x:fill>
      <x:patternFill patternType="solid">
        <x:fgColor rgb="FFFFF4D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44e6d332c4bda" /><Relationship Type="http://schemas.openxmlformats.org/officeDocument/2006/relationships/theme" Target="/xl/theme/theme1.xml" Id="Rca3fdc7ce0e14b8f" /><Relationship Type="http://schemas.openxmlformats.org/officeDocument/2006/relationships/sharedStrings" Target="/xl/sharedStrings.xml" Id="R60806f016bcd4005" /><Relationship Type="http://schemas.openxmlformats.org/officeDocument/2006/relationships/worksheet" Target="/xl/worksheets/sheet1.xml" Id="R606e307623de4fa8" /><Relationship Type="http://schemas.openxmlformats.org/officeDocument/2006/relationships/worksheet" Target="/xl/worksheets/sheet2.xml" Id="R67b6b785b6ae4544" /><Relationship Type="http://schemas.openxmlformats.org/officeDocument/2006/relationships/worksheet" Target="/xl/worksheets/sheet3.xml" Id="R4db8aeb6e14341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61" hidden="0" customWidth="1"/>
    <x:col min="4" max="4" width="24" hidden="0" customWidth="1"/>
    <x:col min="5" max="5" width="28" hidden="0" customWidth="1"/>
    <x:col min="6" max="6" width="45" hidden="0" customWidth="1"/>
    <x:col min="7" max="7" width="12" hidden="0" customWidth="1"/>
  </x:cols>
  <x:sheetData>
    <x:row r="1" ht="21" customHeight="1">
      <x:c r="A1" s="4" t="str">
        <x:v>DATA CENTER READINESS | PRACTICE CHECKLIST</x:v>
      </x:c>
      <x:c r="B1" s="4"/>
      <x:c r="C1" s="4"/>
      <x:c r="D1" s="4"/>
      <x:c r="E1" s="4"/>
      <x:c r="F1" s="4"/>
      <x:c r="G1" s="4"/>
    </x:row>
    <x:row r="2" ht="21" customHeight="1">
      <x:c r="A2" s="4"/>
      <x:c r="B2" s="4"/>
      <x:c r="C2" s="4"/>
      <x:c r="D2" s="4"/>
      <x:c r="E2" s="4"/>
      <x:c r="F2" s="4"/>
      <x:c r="G2" s="4"/>
    </x:row>
    <x:row r="3" ht="21" customHeight="1">
      <x:c r="A3" s="11" t="str">
        <x:v>Blank assessment template: NOT ASSESSED is not scored as a failure. No real facility was audited.</x:v>
      </x:c>
      <x:c r="B3" s="11"/>
      <x:c r="C3" s="11"/>
      <x:c r="D3" s="11"/>
      <x:c r="E3" s="11"/>
      <x:c r="F3" s="11"/>
      <x:c r="G3" s="11"/>
    </x:row>
    <x:row r="4" ht="21" customHeight="1"/>
    <x:row r="5" ht="29" customHeight="1">
      <x:c r="A5" s="19" t="str">
        <x:v>Item ID</x:v>
      </x:c>
      <x:c r="B5" s="19" t="str">
        <x:v>Area</x:v>
      </x:c>
      <x:c r="C5" s="19" t="str">
        <x:v>What to check (illustrative)</x:v>
      </x:c>
      <x:c r="D5" s="19" t="str">
        <x:v>Status (editable)</x:v>
      </x:c>
      <x:c r="E5" s="19" t="str">
        <x:v>Evidence ref</x:v>
      </x:c>
      <x:c r="F5" s="19" t="str">
        <x:v>Observation</x:v>
      </x:c>
      <x:c r="G5" s="19" t="str">
        <x:v>Score</x:v>
      </x:c>
    </x:row>
    <x:row r="6" ht="35" customHeight="1">
      <x:c r="A6" t="str">
        <x:v>LAB-01</x:v>
      </x:c>
      <x:c r="B6" t="str">
        <x:v>Site</x:v>
      </x:c>
      <x:c r="C6" s="26" t="str">
        <x:v>Location hazard assessment documented</x:v>
      </x:c>
      <x:c r="D6" s="27"/>
      <x:c r="E6" s="27"/>
      <x:c r="F6" s="27"/>
      <x:c r="G6" s="30" t="str">
        <x:f>IF(OR(D6="",D6="Not assessed",D6="Not applicable"),"",IF(D6="Implemented",1,IF(D6="Partial",0.5,IF(D6="Not implemented",0,""))))</x:f>
      </x:c>
    </x:row>
    <x:row r="7" ht="35" customHeight="1">
      <x:c r="A7" t="str">
        <x:v>LAB-02</x:v>
      </x:c>
      <x:c r="B7" t="str">
        <x:v>Site</x:v>
      </x:c>
      <x:c r="C7" s="26" t="str">
        <x:v>Emergency access and site entry procedures documented</x:v>
      </x:c>
      <x:c r="D7" s="27"/>
      <x:c r="E7" s="27"/>
      <x:c r="F7" s="27"/>
      <x:c r="G7" s="30" t="str">
        <x:f>IF(OR(D7="",D7="Not assessed",D7="Not applicable"),"",IF(D7="Implemented",1,IF(D7="Partial",0.5,IF(D7="Not implemented",0,""))))</x:f>
      </x:c>
    </x:row>
    <x:row r="8" ht="35" customHeight="1">
      <x:c r="A8" t="str">
        <x:v>LAB-03</x:v>
      </x:c>
      <x:c r="B8" t="str">
        <x:v>Site</x:v>
      </x:c>
      <x:c r="C8" s="26" t="str">
        <x:v>Environmental hazards and water ingress controls reviewed</x:v>
      </x:c>
      <x:c r="D8" s="27"/>
      <x:c r="E8" s="27"/>
      <x:c r="F8" s="27"/>
      <x:c r="G8" s="30" t="str">
        <x:f>IF(OR(D8="",D8="Not assessed",D8="Not applicable"),"",IF(D8="Implemented",1,IF(D8="Partial",0.5,IF(D8="Not implemented",0,""))))</x:f>
      </x:c>
    </x:row>
    <x:row r="9" ht="35" customHeight="1">
      <x:c r="A9" t="str">
        <x:v>LAB-04</x:v>
      </x:c>
      <x:c r="B9" t="str">
        <x:v>Power</x:v>
      </x:c>
      <x:c r="C9" s="26" t="str">
        <x:v>UPS and backup power architecture documented</x:v>
      </x:c>
      <x:c r="D9" s="27"/>
      <x:c r="E9" s="27"/>
      <x:c r="F9" s="27"/>
      <x:c r="G9" s="30" t="str">
        <x:f>IF(OR(D9="",D9="Not assessed",D9="Not applicable"),"",IF(D9="Implemented",1,IF(D9="Partial",0.5,IF(D9="Not implemented",0,""))))</x:f>
      </x:c>
    </x:row>
    <x:row r="10" ht="35" customHeight="1">
      <x:c r="A10" t="str">
        <x:v>LAB-05</x:v>
      </x:c>
      <x:c r="B10" t="str">
        <x:v>Power</x:v>
      </x:c>
      <x:c r="C10" s="26" t="str">
        <x:v>Critical rack power-feed topology recorded</x:v>
      </x:c>
      <x:c r="D10" s="27"/>
      <x:c r="E10" s="27"/>
      <x:c r="F10" s="27"/>
      <x:c r="G10" s="30" t="str">
        <x:f>IF(OR(D10="",D10="Not assessed",D10="Not applicable"),"",IF(D10="Implemented",1,IF(D10="Partial",0.5,IF(D10="Not implemented",0,""))))</x:f>
      </x:c>
    </x:row>
    <x:row r="11" ht="35" customHeight="1">
      <x:c r="A11" t="str">
        <x:v>LAB-06</x:v>
      </x:c>
      <x:c r="B11" t="str">
        <x:v>Power</x:v>
      </x:c>
      <x:c r="C11" s="26" t="str">
        <x:v>Maintenance and transfer procedures available</x:v>
      </x:c>
      <x:c r="D11" s="27"/>
      <x:c r="E11" s="27"/>
      <x:c r="F11" s="27"/>
      <x:c r="G11" s="30" t="str">
        <x:f>IF(OR(D11="",D11="Not assessed",D11="Not applicable"),"",IF(D11="Implemented",1,IF(D11="Partial",0.5,IF(D11="Not implemented",0,""))))</x:f>
      </x:c>
    </x:row>
    <x:row r="12" ht="35" customHeight="1">
      <x:c r="A12" t="str">
        <x:v>LAB-07</x:v>
      </x:c>
      <x:c r="B12" t="str">
        <x:v>Cooling</x:v>
      </x:c>
      <x:c r="C12" s="26" t="str">
        <x:v>Cooling equipment inventory and maintenance schedule</x:v>
      </x:c>
      <x:c r="D12" s="27"/>
      <x:c r="E12" s="27"/>
      <x:c r="F12" s="27"/>
      <x:c r="G12" s="30" t="str">
        <x:f>IF(OR(D12="",D12="Not assessed",D12="Not applicable"),"",IF(D12="Implemented",1,IF(D12="Partial",0.5,IF(D12="Not implemented",0,""))))</x:f>
      </x:c>
    </x:row>
    <x:row r="13" ht="35" customHeight="1">
      <x:c r="A13" t="str">
        <x:v>LAB-08</x:v>
      </x:c>
      <x:c r="B13" t="str">
        <x:v>Cooling</x:v>
      </x:c>
      <x:c r="C13" s="26" t="str">
        <x:v>Airflow and hot/cold aisle management reviewed</x:v>
      </x:c>
      <x:c r="D13" s="27"/>
      <x:c r="E13" s="27"/>
      <x:c r="F13" s="27"/>
      <x:c r="G13" s="30" t="str">
        <x:f>IF(OR(D13="",D13="Not assessed",D13="Not applicable"),"",IF(D13="Implemented",1,IF(D13="Partial",0.5,IF(D13="Not implemented",0,""))))</x:f>
      </x:c>
    </x:row>
    <x:row r="14" ht="35" customHeight="1">
      <x:c r="A14" t="str">
        <x:v>LAB-09</x:v>
      </x:c>
      <x:c r="B14" t="str">
        <x:v>Cooling</x:v>
      </x:c>
      <x:c r="C14" s="26" t="str">
        <x:v>Temperature monitoring and escalation procedures</x:v>
      </x:c>
      <x:c r="D14" s="27"/>
      <x:c r="E14" s="27"/>
      <x:c r="F14" s="27"/>
      <x:c r="G14" s="30" t="str">
        <x:f>IF(OR(D14="",D14="Not assessed",D14="Not applicable"),"",IF(D14="Implemented",1,IF(D14="Partial",0.5,IF(D14="Not implemented",0,""))))</x:f>
      </x:c>
    </x:row>
    <x:row r="15" ht="35" customHeight="1">
      <x:c r="A15" t="str">
        <x:v>LAB-10</x:v>
      </x:c>
      <x:c r="B15" t="str">
        <x:v>DataHall</x:v>
      </x:c>
      <x:c r="C15" s="26" t="str">
        <x:v>Rack inventory and labels maintained</x:v>
      </x:c>
      <x:c r="D15" s="27"/>
      <x:c r="E15" s="27"/>
      <x:c r="F15" s="27"/>
      <x:c r="G15" s="30" t="str">
        <x:f>IF(OR(D15="",D15="Not assessed",D15="Not applicable"),"",IF(D15="Implemented",1,IF(D15="Partial",0.5,IF(D15="Not implemented",0,""))))</x:f>
      </x:c>
    </x:row>
    <x:row r="16" ht="35" customHeight="1">
      <x:c r="A16" t="str">
        <x:v>LAB-11</x:v>
      </x:c>
      <x:c r="B16" t="str">
        <x:v>DataHall</x:v>
      </x:c>
      <x:c r="C16" s="26" t="str">
        <x:v>Structured cabling and port mapping checked</x:v>
      </x:c>
      <x:c r="D16" s="27"/>
      <x:c r="E16" s="27"/>
      <x:c r="F16" s="27"/>
      <x:c r="G16" s="30" t="str">
        <x:f>IF(OR(D16="",D16="Not assessed",D16="Not applicable"),"",IF(D16="Implemented",1,IF(D16="Partial",0.5,IF(D16="Not implemented",0,""))))</x:f>
      </x:c>
    </x:row>
    <x:row r="17" ht="35" customHeight="1">
      <x:c r="A17" t="str">
        <x:v>LAB-12</x:v>
      </x:c>
      <x:c r="B17" t="str">
        <x:v>DataHall</x:v>
      </x:c>
      <x:c r="C17" s="26" t="str">
        <x:v>Installation / decommissioning procedures documented</x:v>
      </x:c>
      <x:c r="D17" s="27"/>
      <x:c r="E17" s="27"/>
      <x:c r="F17" s="27"/>
      <x:c r="G17" s="30" t="str">
        <x:f>IF(OR(D17="",D17="Not assessed",D17="Not applicable"),"",IF(D17="Implemented",1,IF(D17="Partial",0.5,IF(D17="Not implemented",0,""))))</x:f>
      </x:c>
    </x:row>
    <x:row r="18" ht="35" customHeight="1">
      <x:c r="A18" t="str">
        <x:v>LAB-13</x:v>
      </x:c>
      <x:c r="B18" t="str">
        <x:v>Network</x:v>
      </x:c>
      <x:c r="C18" s="26" t="str">
        <x:v>Physical cabling routes and diversity documented</x:v>
      </x:c>
      <x:c r="D18" s="27"/>
      <x:c r="E18" s="27"/>
      <x:c r="F18" s="27"/>
      <x:c r="G18" s="30" t="str">
        <x:f>IF(OR(D18="",D18="Not assessed",D18="Not applicable"),"",IF(D18="Implemented",1,IF(D18="Partial",0.5,IF(D18="Not implemented",0,""))))</x:f>
      </x:c>
    </x:row>
    <x:row r="19" ht="35" customHeight="1">
      <x:c r="A19" t="str">
        <x:v>LAB-14</x:v>
      </x:c>
      <x:c r="B19" t="str">
        <x:v>Network</x:v>
      </x:c>
      <x:c r="C19" s="26" t="str">
        <x:v>Network equipment inventory and location records</x:v>
      </x:c>
      <x:c r="D19" s="27"/>
      <x:c r="E19" s="27"/>
      <x:c r="F19" s="27"/>
      <x:c r="G19" s="30" t="str">
        <x:f>IF(OR(D19="",D19="Not assessed",D19="Not applicable"),"",IF(D19="Implemented",1,IF(D19="Partial",0.5,IF(D19="Not implemented",0,""))))</x:f>
      </x:c>
    </x:row>
    <x:row r="20" ht="35" customHeight="1">
      <x:c r="A20" t="str">
        <x:v>LAB-15</x:v>
      </x:c>
      <x:c r="B20" t="str">
        <x:v>Network</x:v>
      </x:c>
      <x:c r="C20" s="26" t="str">
        <x:v>Incident troubleshooting and escalation route documented</x:v>
      </x:c>
      <x:c r="D20" s="27"/>
      <x:c r="E20" s="27"/>
      <x:c r="F20" s="27"/>
      <x:c r="G20" s="30" t="str">
        <x:f>IF(OR(D20="",D20="Not assessed",D20="Not applicable"),"",IF(D20="Implemented",1,IF(D20="Partial",0.5,IF(D20="Not implemented",0,""))))</x:f>
      </x:c>
    </x:row>
    <x:row r="21" ht="35" customHeight="1">
      <x:c r="A21" t="str">
        <x:v>LAB-16</x:v>
      </x:c>
      <x:c r="B21" t="str">
        <x:v>Security</x:v>
      </x:c>
      <x:c r="C21" s="26" t="str">
        <x:v>Physical access procedures and logs documented</x:v>
      </x:c>
      <x:c r="D21" s="27"/>
      <x:c r="E21" s="27"/>
      <x:c r="F21" s="27"/>
      <x:c r="G21" s="30" t="str">
        <x:f>IF(OR(D21="",D21="Not assessed",D21="Not applicable"),"",IF(D21="Implemented",1,IF(D21="Partial",0.5,IF(D21="Not implemented",0,""))))</x:f>
      </x:c>
    </x:row>
    <x:row r="22" ht="35" customHeight="1">
      <x:c r="A22" t="str">
        <x:v>LAB-17</x:v>
      </x:c>
      <x:c r="B22" t="str">
        <x:v>Security</x:v>
      </x:c>
      <x:c r="C22" s="26" t="str">
        <x:v>Visitor and contractor escort requirements</x:v>
      </x:c>
      <x:c r="D22" s="27"/>
      <x:c r="E22" s="27"/>
      <x:c r="F22" s="27"/>
      <x:c r="G22" s="30" t="str">
        <x:f>IF(OR(D22="",D22="Not assessed",D22="Not applicable"),"",IF(D22="Implemented",1,IF(D22="Partial",0.5,IF(D22="Not implemented",0,""))))</x:f>
      </x:c>
    </x:row>
    <x:row r="23" ht="35" customHeight="1">
      <x:c r="A23" t="str">
        <x:v>LAB-18</x:v>
      </x:c>
      <x:c r="B23" t="str">
        <x:v>Security</x:v>
      </x:c>
      <x:c r="C23" s="26" t="str">
        <x:v>Removable media handling rules and approvals</x:v>
      </x:c>
      <x:c r="D23" s="27"/>
      <x:c r="E23" s="27"/>
      <x:c r="F23" s="27"/>
      <x:c r="G23" s="30" t="str">
        <x:f>IF(OR(D23="",D23="Not assessed",D23="Not applicable"),"",IF(D23="Implemented",1,IF(D23="Partial",0.5,IF(D23="Not implemented",0,""))))</x:f>
      </x:c>
    </x:row>
    <x:row r="24" ht="35" customHeight="1">
      <x:c r="A24" t="str">
        <x:v>LAB-19</x:v>
      </x:c>
      <x:c r="B24" t="str">
        <x:v>Operations</x:v>
      </x:c>
      <x:c r="C24" s="26" t="str">
        <x:v>Daily work-order or ticket review workflow</x:v>
      </x:c>
      <x:c r="D24" s="27"/>
      <x:c r="E24" s="27"/>
      <x:c r="F24" s="27"/>
      <x:c r="G24" s="30" t="str">
        <x:f>IF(OR(D24="",D24="Not assessed",D24="Not applicable"),"",IF(D24="Implemented",1,IF(D24="Partial",0.5,IF(D24="Not implemented",0,""))))</x:f>
      </x:c>
    </x:row>
    <x:row r="25" ht="35" customHeight="1">
      <x:c r="A25" t="str">
        <x:v>LAB-20</x:v>
      </x:c>
      <x:c r="B25" t="str">
        <x:v>Operations</x:v>
      </x:c>
      <x:c r="C25" s="26" t="str">
        <x:v>Incident reports and shift handover procedures</x:v>
      </x:c>
      <x:c r="D25" s="27"/>
      <x:c r="E25" s="27"/>
      <x:c r="F25" s="27"/>
      <x:c r="G25" s="30" t="str">
        <x:f>IF(OR(D25="",D25="Not assessed",D25="Not applicable"),"",IF(D25="Implemented",1,IF(D25="Partial",0.5,IF(D25="Not implemented",0,""))))</x:f>
      </x:c>
    </x:row>
    <x:row r="26" ht="35" customHeight="1">
      <x:c r="A26" t="str">
        <x:v>LAB-21</x:v>
      </x:c>
      <x:c r="B26" t="str">
        <x:v>Operations</x:v>
      </x:c>
      <x:c r="C26" s="26" t="str">
        <x:v>Preventive maintenance and change control records</x:v>
      </x:c>
      <x:c r="D26" s="27"/>
      <x:c r="E26" s="27"/>
      <x:c r="F26" s="27"/>
      <x:c r="G26" s="30" t="str">
        <x:f>IF(OR(D26="",D26="Not assessed",D26="Not applicable"),"",IF(D26="Implemented",1,IF(D26="Partial",0.5,IF(D26="Not implemented",0,""))))</x:f>
      </x:c>
    </x:row>
    <x:row r="27" ht="35" customHeight="1">
      <x:c r="A27" t="str">
        <x:v>LAB-22</x:v>
      </x:c>
      <x:c r="B27" t="str">
        <x:v>BCP_DR</x:v>
      </x:c>
      <x:c r="C27" s="26" t="str">
        <x:v>Documented business continuity plan</x:v>
      </x:c>
      <x:c r="D27" s="27"/>
      <x:c r="E27" s="27"/>
      <x:c r="F27" s="27"/>
      <x:c r="G27" s="30" t="str">
        <x:f>IF(OR(D27="",D27="Not assessed",D27="Not applicable"),"",IF(D27="Implemented",1,IF(D27="Partial",0.5,IF(D27="Not implemented",0,""))))</x:f>
      </x:c>
    </x:row>
    <x:row r="28" ht="35" customHeight="1">
      <x:c r="A28" t="str">
        <x:v>LAB-23</x:v>
      </x:c>
      <x:c r="B28" t="str">
        <x:v>BCP_DR</x:v>
      </x:c>
      <x:c r="C28" s="26" t="str">
        <x:v>Disaster recovery procedures and contacts</x:v>
      </x:c>
      <x:c r="D28" s="27"/>
      <x:c r="E28" s="27"/>
      <x:c r="F28" s="27"/>
      <x:c r="G28" s="30" t="str">
        <x:f>IF(OR(D28="",D28="Not assessed",D28="Not applicable"),"",IF(D28="Implemented",1,IF(D28="Partial",0.5,IF(D28="Not implemented",0,""))))</x:f>
      </x:c>
    </x:row>
    <x:row r="29" ht="35" customHeight="1">
      <x:c r="A29" t="str">
        <x:v>LAB-24</x:v>
      </x:c>
      <x:c r="B29" t="str">
        <x:v>BCP_DR</x:v>
      </x:c>
      <x:c r="C29" s="26" t="str">
        <x:v>Evidence of rehearsal or test cycle (if applicable)</x:v>
      </x:c>
      <x:c r="D29" s="27"/>
      <x:c r="E29" s="27"/>
      <x:c r="F29" s="27"/>
      <x:c r="G29" s="30" t="str">
        <x:f>IF(OR(D29="",D29="Not assessed",D29="Not applicable"),"",IF(D29="Implemented",1,IF(D29="Partial",0.5,IF(D29="Not implemented",0,""))))</x:f>
      </x:c>
    </x:row>
    <x:row r="30" ht="35" customHeight="1">
      <x:c r="A30" t="str">
        <x:v>LAB-25</x:v>
      </x:c>
      <x:c r="B30" t="str">
        <x:v>Energy</x:v>
      </x:c>
      <x:c r="C30" s="26" t="str">
        <x:v>Power and energy measurement approach documented</x:v>
      </x:c>
      <x:c r="D30" s="27"/>
      <x:c r="E30" s="27"/>
      <x:c r="F30" s="27"/>
      <x:c r="G30" s="30" t="str">
        <x:f>IF(OR(D30="",D30="Not assessed",D30="Not applicable"),"",IF(D30="Implemented",1,IF(D30="Partial",0.5,IF(D30="Not implemented",0,""))))</x:f>
      </x:c>
    </x:row>
    <x:row r="31" ht="35" customHeight="1">
      <x:c r="A31" t="str">
        <x:v>LAB-26</x:v>
      </x:c>
      <x:c r="B31" t="str">
        <x:v>Energy</x:v>
      </x:c>
      <x:c r="C31" s="26" t="str">
        <x:v>Capacity trend review and thresholds documented</x:v>
      </x:c>
      <x:c r="D31" s="27"/>
      <x:c r="E31" s="27"/>
      <x:c r="F31" s="27"/>
      <x:c r="G31" s="30" t="str">
        <x:f>IF(OR(D31="",D31="Not assessed",D31="Not applicable"),"",IF(D31="Implemented",1,IF(D31="Partial",0.5,IF(D31="Not implemented",0,""))))</x:f>
      </x:c>
    </x:row>
    <x:row r="32" ht="35" customHeight="1">
      <x:c r="A32" t="str">
        <x:v>LAB-27</x:v>
      </x:c>
      <x:c r="B32" t="str">
        <x:v>Energy</x:v>
      </x:c>
      <x:c r="C32" s="26" t="str">
        <x:v>UPS/cooling energy efficiency review procedure</x:v>
      </x:c>
      <x:c r="D32" s="27"/>
      <x:c r="E32" s="27"/>
      <x:c r="F32" s="27"/>
      <x:c r="G32" s="30" t="str">
        <x:f>IF(OR(D32="",D32="Not assessed",D32="Not applicable"),"",IF(D32="Implemented",1,IF(D32="Partial",0.5,IF(D32="Not implemented",0,""))))</x:f>
      </x:c>
    </x:row>
    <x:row r="33" ht="35" customHeight="1">
      <x:c r="A33" t="str">
        <x:v>LAB-28</x:v>
      </x:c>
      <x:c r="B33" t="str">
        <x:v>Governance</x:v>
      </x:c>
      <x:c r="C33" s="26" t="str">
        <x:v>Risk register owner and review dates</x:v>
      </x:c>
      <x:c r="D33" s="27"/>
      <x:c r="E33" s="27"/>
      <x:c r="F33" s="27"/>
      <x:c r="G33" s="30" t="str">
        <x:f>IF(OR(D33="",D33="Not assessed",D33="Not applicable"),"",IF(D33="Implemented",1,IF(D33="Partial",0.5,IF(D33="Not implemented",0,""))))</x:f>
      </x:c>
    </x:row>
    <x:row r="34" ht="35" customHeight="1">
      <x:c r="A34" t="str">
        <x:v>LAB-29</x:v>
      </x:c>
      <x:c r="B34" t="str">
        <x:v>Governance</x:v>
      </x:c>
      <x:c r="C34" s="26" t="str">
        <x:v>Safety procedures and roles documented</x:v>
      </x:c>
      <x:c r="D34" s="27"/>
      <x:c r="E34" s="27"/>
      <x:c r="F34" s="27"/>
      <x:c r="G34" s="30" t="str">
        <x:f>IF(OR(D34="",D34="Not assessed",D34="Not applicable"),"",IF(D34="Implemented",1,IF(D34="Partial",0.5,IF(D34="Not implemented",0,""))))</x:f>
      </x:c>
    </x:row>
    <x:row r="35" ht="35" customHeight="1">
      <x:c r="A35" t="str">
        <x:v>LAB-30</x:v>
      </x:c>
      <x:c r="B35" t="str">
        <x:v>Governance</x:v>
      </x:c>
      <x:c r="C35" s="26" t="str">
        <x:v>Vendor responsibilities and maintenance documentation</x:v>
      </x:c>
      <x:c r="D35" s="27"/>
      <x:c r="E35" s="27"/>
      <x:c r="F35" s="27"/>
      <x:c r="G35" s="30" t="str">
        <x:f>IF(OR(D35="",D35="Not assessed",D35="Not applicable"),"",IF(D35="Implemented",1,IF(D35="Partial",0.5,IF(D35="Not implemented",0,""))))</x:f>
      </x:c>
    </x:row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G2"/>
    <x:mergeCell ref="A3:G3"/>
  </x:mergeCells>
  <x:dataValidations count="1">
    <x:dataValidation type="list" sqref="D6:D35">
      <x:formula1>"Not assessed,Implemented,Partial,Not implemented,Not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3" hidden="0" customWidth="1"/>
    <x:col min="9" max="9" width="23" hidden="0" customWidth="1"/>
  </x:cols>
  <x:sheetData>
    <x:row r="1" ht="21" customHeight="1">
      <x:c r="A1" s="4" t="str">
        <x:v>READINESS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" customHeight="1">
      <x:c r="A3" s="11" t="str">
        <x:v>Blank checklist =&gt; NO ASSESSMENT, not 0% compliance. Scoring is custom for learning, not ISO certification.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21" customHeight="1"/>
    <x:row r="5" ht="29" customHeight="1">
      <x:c r="A5" s="19" t="str">
        <x:v>Area</x:v>
      </x:c>
      <x:c r="B5" s="19" t="str">
        <x:v>Items</x:v>
      </x:c>
      <x:c r="C5" s="19" t="str">
        <x:v>Eligible</x:v>
      </x:c>
      <x:c r="D5" s="19" t="str">
        <x:v>Assessed</x:v>
      </x:c>
      <x:c r="E5" s="19" t="str">
        <x:v>Implemented</x:v>
      </x:c>
      <x:c r="F5" s="19" t="str">
        <x:v>Partial</x:v>
      </x:c>
      <x:c r="G5" s="19" t="str">
        <x:v>Gap</x:v>
      </x:c>
      <x:c r="H5" s="19" t="str">
        <x:v>Coverage</x:v>
      </x:c>
      <x:c r="I5" s="19" t="str">
        <x:v>Assessed score</x:v>
      </x:c>
    </x:row>
    <x:row r="6" ht="21" customHeight="1">
      <x:c r="A6" t="str">
        <x:v>Site</x:v>
      </x:c>
      <x:c r="B6" t="n">
        <x:f>COUNTIF(Checks!$B$6:$B$35,A6)</x:f>
        <x:v>3</x:v>
      </x:c>
      <x:c r="C6" t="n">
        <x:f>B6-COUNTIFS(Checks!$B$6:$B$35,A6,Checks!$D$6:$D$35,"Not applicable")</x:f>
        <x:v>3</x:v>
      </x:c>
      <x:c r="D6" t="n">
        <x:f>SUM(E6:G6)</x:f>
        <x:v>0</x:v>
      </x:c>
      <x:c r="E6" t="n">
        <x:f>COUNTIFS(Checks!$B$6:$B$35,A6,Checks!$D$6:$D$35,"Implemented")</x:f>
        <x:v>0</x:v>
      </x:c>
      <x:c r="F6" t="n">
        <x:f>COUNTIFS(Checks!$B$6:$B$35,A6,Checks!$D$6:$D$35,"Partial")</x:f>
        <x:v>0</x:v>
      </x:c>
      <x:c r="G6" t="n">
        <x:f>COUNTIFS(Checks!$B$6:$B$35,A6,Checks!$D$6:$D$35,"Not implemented")</x:f>
        <x:v>0</x:v>
      </x:c>
      <x:c r="H6" s="30" t="n">
        <x:f>IF(C6=0,"",D6/C6)</x:f>
        <x:v>0</x:v>
      </x:c>
      <x:c r="I6" s="30" t="str">
        <x:f>IF(D6=0,"",(E6+0.5*F6)/D6)</x:f>
      </x:c>
    </x:row>
    <x:row r="7" ht="21" customHeight="1">
      <x:c r="A7" t="str">
        <x:v>Power</x:v>
      </x:c>
      <x:c r="B7" t="n">
        <x:f>COUNTIF(Checks!$B$6:$B$35,A7)</x:f>
        <x:v>3</x:v>
      </x:c>
      <x:c r="C7" t="n">
        <x:f>B7-COUNTIFS(Checks!$B$6:$B$35,A7,Checks!$D$6:$D$35,"Not applicable")</x:f>
        <x:v>3</x:v>
      </x:c>
      <x:c r="D7" t="n">
        <x:f>SUM(E7:G7)</x:f>
        <x:v>0</x:v>
      </x:c>
      <x:c r="E7" t="n">
        <x:f>COUNTIFS(Checks!$B$6:$B$35,A7,Checks!$D$6:$D$35,"Implemented")</x:f>
        <x:v>0</x:v>
      </x:c>
      <x:c r="F7" t="n">
        <x:f>COUNTIFS(Checks!$B$6:$B$35,A7,Checks!$D$6:$D$35,"Partial")</x:f>
        <x:v>0</x:v>
      </x:c>
      <x:c r="G7" t="n">
        <x:f>COUNTIFS(Checks!$B$6:$B$35,A7,Checks!$D$6:$D$35,"Not implemented")</x:f>
        <x:v>0</x:v>
      </x:c>
      <x:c r="H7" s="30" t="n">
        <x:f>IF(C7=0,"",D7/C7)</x:f>
        <x:v>0</x:v>
      </x:c>
      <x:c r="I7" s="30" t="str">
        <x:f>IF(D7=0,"",(E7+0.5*F7)/D7)</x:f>
      </x:c>
    </x:row>
    <x:row r="8" ht="21" customHeight="1">
      <x:c r="A8" t="str">
        <x:v>Cooling</x:v>
      </x:c>
      <x:c r="B8" t="n">
        <x:f>COUNTIF(Checks!$B$6:$B$35,A8)</x:f>
        <x:v>3</x:v>
      </x:c>
      <x:c r="C8" t="n">
        <x:f>B8-COUNTIFS(Checks!$B$6:$B$35,A8,Checks!$D$6:$D$35,"Not applicable")</x:f>
        <x:v>3</x:v>
      </x:c>
      <x:c r="D8" t="n">
        <x:f>SUM(E8:G8)</x:f>
        <x:v>0</x:v>
      </x:c>
      <x:c r="E8" t="n">
        <x:f>COUNTIFS(Checks!$B$6:$B$35,A8,Checks!$D$6:$D$35,"Implemented")</x:f>
        <x:v>0</x:v>
      </x:c>
      <x:c r="F8" t="n">
        <x:f>COUNTIFS(Checks!$B$6:$B$35,A8,Checks!$D$6:$D$35,"Partial")</x:f>
        <x:v>0</x:v>
      </x:c>
      <x:c r="G8" t="n">
        <x:f>COUNTIFS(Checks!$B$6:$B$35,A8,Checks!$D$6:$D$35,"Not implemented")</x:f>
        <x:v>0</x:v>
      </x:c>
      <x:c r="H8" s="30" t="n">
        <x:f>IF(C8=0,"",D8/C8)</x:f>
        <x:v>0</x:v>
      </x:c>
      <x:c r="I8" s="30" t="str">
        <x:f>IF(D8=0,"",(E8+0.5*F8)/D8)</x:f>
      </x:c>
    </x:row>
    <x:row r="9" ht="21" customHeight="1">
      <x:c r="A9" t="str">
        <x:v>DataHall</x:v>
      </x:c>
      <x:c r="B9" t="n">
        <x:f>COUNTIF(Checks!$B$6:$B$35,A9)</x:f>
        <x:v>3</x:v>
      </x:c>
      <x:c r="C9" t="n">
        <x:f>B9-COUNTIFS(Checks!$B$6:$B$35,A9,Checks!$D$6:$D$35,"Not applicable")</x:f>
        <x:v>3</x:v>
      </x:c>
      <x:c r="D9" t="n">
        <x:f>SUM(E9:G9)</x:f>
        <x:v>0</x:v>
      </x:c>
      <x:c r="E9" t="n">
        <x:f>COUNTIFS(Checks!$B$6:$B$35,A9,Checks!$D$6:$D$35,"Implemented")</x:f>
        <x:v>0</x:v>
      </x:c>
      <x:c r="F9" t="n">
        <x:f>COUNTIFS(Checks!$B$6:$B$35,A9,Checks!$D$6:$D$35,"Partial")</x:f>
        <x:v>0</x:v>
      </x:c>
      <x:c r="G9" t="n">
        <x:f>COUNTIFS(Checks!$B$6:$B$35,A9,Checks!$D$6:$D$35,"Not implemented")</x:f>
        <x:v>0</x:v>
      </x:c>
      <x:c r="H9" s="30" t="n">
        <x:f>IF(C9=0,"",D9/C9)</x:f>
        <x:v>0</x:v>
      </x:c>
      <x:c r="I9" s="30" t="str">
        <x:f>IF(D9=0,"",(E9+0.5*F9)/D9)</x:f>
      </x:c>
    </x:row>
    <x:row r="10" ht="21" customHeight="1">
      <x:c r="A10" t="str">
        <x:v>Network</x:v>
      </x:c>
      <x:c r="B10" t="n">
        <x:f>COUNTIF(Checks!$B$6:$B$35,A10)</x:f>
        <x:v>3</x:v>
      </x:c>
      <x:c r="C10" t="n">
        <x:f>B10-COUNTIFS(Checks!$B$6:$B$35,A10,Checks!$D$6:$D$35,"Not applicable")</x:f>
        <x:v>3</x:v>
      </x:c>
      <x:c r="D10" t="n">
        <x:f>SUM(E10:G10)</x:f>
        <x:v>0</x:v>
      </x:c>
      <x:c r="E10" t="n">
        <x:f>COUNTIFS(Checks!$B$6:$B$35,A10,Checks!$D$6:$D$35,"Implemented")</x:f>
        <x:v>0</x:v>
      </x:c>
      <x:c r="F10" t="n">
        <x:f>COUNTIFS(Checks!$B$6:$B$35,A10,Checks!$D$6:$D$35,"Partial")</x:f>
        <x:v>0</x:v>
      </x:c>
      <x:c r="G10" t="n">
        <x:f>COUNTIFS(Checks!$B$6:$B$35,A10,Checks!$D$6:$D$35,"Not implemented")</x:f>
        <x:v>0</x:v>
      </x:c>
      <x:c r="H10" s="30" t="n">
        <x:f>IF(C10=0,"",D10/C10)</x:f>
        <x:v>0</x:v>
      </x:c>
      <x:c r="I10" s="30" t="str">
        <x:f>IF(D10=0,"",(E10+0.5*F10)/D10)</x:f>
      </x:c>
    </x:row>
    <x:row r="11" ht="21" customHeight="1">
      <x:c r="A11" t="str">
        <x:v>Security</x:v>
      </x:c>
      <x:c r="B11" t="n">
        <x:f>COUNTIF(Checks!$B$6:$B$35,A11)</x:f>
        <x:v>3</x:v>
      </x:c>
      <x:c r="C11" t="n">
        <x:f>B11-COUNTIFS(Checks!$B$6:$B$35,A11,Checks!$D$6:$D$35,"Not applicable")</x:f>
        <x:v>3</x:v>
      </x:c>
      <x:c r="D11" t="n">
        <x:f>SUM(E11:G11)</x:f>
        <x:v>0</x:v>
      </x:c>
      <x:c r="E11" t="n">
        <x:f>COUNTIFS(Checks!$B$6:$B$35,A11,Checks!$D$6:$D$35,"Implemented")</x:f>
        <x:v>0</x:v>
      </x:c>
      <x:c r="F11" t="n">
        <x:f>COUNTIFS(Checks!$B$6:$B$35,A11,Checks!$D$6:$D$35,"Partial")</x:f>
        <x:v>0</x:v>
      </x:c>
      <x:c r="G11" t="n">
        <x:f>COUNTIFS(Checks!$B$6:$B$35,A11,Checks!$D$6:$D$35,"Not implemented")</x:f>
        <x:v>0</x:v>
      </x:c>
      <x:c r="H11" s="30" t="n">
        <x:f>IF(C11=0,"",D11/C11)</x:f>
        <x:v>0</x:v>
      </x:c>
      <x:c r="I11" s="30" t="str">
        <x:f>IF(D11=0,"",(E11+0.5*F11)/D11)</x:f>
      </x:c>
    </x:row>
    <x:row r="12" ht="21" customHeight="1">
      <x:c r="A12" t="str">
        <x:v>Operations</x:v>
      </x:c>
      <x:c r="B12" t="n">
        <x:f>COUNTIF(Checks!$B$6:$B$35,A12)</x:f>
        <x:v>3</x:v>
      </x:c>
      <x:c r="C12" t="n">
        <x:f>B12-COUNTIFS(Checks!$B$6:$B$35,A12,Checks!$D$6:$D$35,"Not applicable")</x:f>
        <x:v>3</x:v>
      </x:c>
      <x:c r="D12" t="n">
        <x:f>SUM(E12:G12)</x:f>
        <x:v>0</x:v>
      </x:c>
      <x:c r="E12" t="n">
        <x:f>COUNTIFS(Checks!$B$6:$B$35,A12,Checks!$D$6:$D$35,"Implemented")</x:f>
        <x:v>0</x:v>
      </x:c>
      <x:c r="F12" t="n">
        <x:f>COUNTIFS(Checks!$B$6:$B$35,A12,Checks!$D$6:$D$35,"Partial")</x:f>
        <x:v>0</x:v>
      </x:c>
      <x:c r="G12" t="n">
        <x:f>COUNTIFS(Checks!$B$6:$B$35,A12,Checks!$D$6:$D$35,"Not implemented")</x:f>
        <x:v>0</x:v>
      </x:c>
      <x:c r="H12" s="30" t="n">
        <x:f>IF(C12=0,"",D12/C12)</x:f>
        <x:v>0</x:v>
      </x:c>
      <x:c r="I12" s="30" t="str">
        <x:f>IF(D12=0,"",(E12+0.5*F12)/D12)</x:f>
      </x:c>
    </x:row>
    <x:row r="13" ht="21" customHeight="1">
      <x:c r="A13" t="str">
        <x:v>BCP_DR</x:v>
      </x:c>
      <x:c r="B13" t="n">
        <x:f>COUNTIF(Checks!$B$6:$B$35,A13)</x:f>
        <x:v>3</x:v>
      </x:c>
      <x:c r="C13" t="n">
        <x:f>B13-COUNTIFS(Checks!$B$6:$B$35,A13,Checks!$D$6:$D$35,"Not applicable")</x:f>
        <x:v>3</x:v>
      </x:c>
      <x:c r="D13" t="n">
        <x:f>SUM(E13:G13)</x:f>
        <x:v>0</x:v>
      </x:c>
      <x:c r="E13" t="n">
        <x:f>COUNTIFS(Checks!$B$6:$B$35,A13,Checks!$D$6:$D$35,"Implemented")</x:f>
        <x:v>0</x:v>
      </x:c>
      <x:c r="F13" t="n">
        <x:f>COUNTIFS(Checks!$B$6:$B$35,A13,Checks!$D$6:$D$35,"Partial")</x:f>
        <x:v>0</x:v>
      </x:c>
      <x:c r="G13" t="n">
        <x:f>COUNTIFS(Checks!$B$6:$B$35,A13,Checks!$D$6:$D$35,"Not implemented")</x:f>
        <x:v>0</x:v>
      </x:c>
      <x:c r="H13" s="30" t="n">
        <x:f>IF(C13=0,"",D13/C13)</x:f>
        <x:v>0</x:v>
      </x:c>
      <x:c r="I13" s="30" t="str">
        <x:f>IF(D13=0,"",(E13+0.5*F13)/D13)</x:f>
      </x:c>
    </x:row>
    <x:row r="14" ht="21" customHeight="1">
      <x:c r="A14" t="str">
        <x:v>Energy</x:v>
      </x:c>
      <x:c r="B14" t="n">
        <x:f>COUNTIF(Checks!$B$6:$B$35,A14)</x:f>
        <x:v>3</x:v>
      </x:c>
      <x:c r="C14" t="n">
        <x:f>B14-COUNTIFS(Checks!$B$6:$B$35,A14,Checks!$D$6:$D$35,"Not applicable")</x:f>
        <x:v>3</x:v>
      </x:c>
      <x:c r="D14" t="n">
        <x:f>SUM(E14:G14)</x:f>
        <x:v>0</x:v>
      </x:c>
      <x:c r="E14" t="n">
        <x:f>COUNTIFS(Checks!$B$6:$B$35,A14,Checks!$D$6:$D$35,"Implemented")</x:f>
        <x:v>0</x:v>
      </x:c>
      <x:c r="F14" t="n">
        <x:f>COUNTIFS(Checks!$B$6:$B$35,A14,Checks!$D$6:$D$35,"Partial")</x:f>
        <x:v>0</x:v>
      </x:c>
      <x:c r="G14" t="n">
        <x:f>COUNTIFS(Checks!$B$6:$B$35,A14,Checks!$D$6:$D$35,"Not implemented")</x:f>
        <x:v>0</x:v>
      </x:c>
      <x:c r="H14" s="30" t="n">
        <x:f>IF(C14=0,"",D14/C14)</x:f>
        <x:v>0</x:v>
      </x:c>
      <x:c r="I14" s="30" t="str">
        <x:f>IF(D14=0,"",(E14+0.5*F14)/D14)</x:f>
      </x:c>
    </x:row>
    <x:row r="15" ht="21" customHeight="1">
      <x:c r="A15" t="str">
        <x:v>Governance</x:v>
      </x:c>
      <x:c r="B15" t="n">
        <x:f>COUNTIF(Checks!$B$6:$B$35,A15)</x:f>
        <x:v>3</x:v>
      </x:c>
      <x:c r="C15" t="n">
        <x:f>B15-COUNTIFS(Checks!$B$6:$B$35,A15,Checks!$D$6:$D$35,"Not applicable")</x:f>
        <x:v>3</x:v>
      </x:c>
      <x:c r="D15" t="n">
        <x:f>SUM(E15:G15)</x:f>
        <x:v>0</x:v>
      </x:c>
      <x:c r="E15" t="n">
        <x:f>COUNTIFS(Checks!$B$6:$B$35,A15,Checks!$D$6:$D$35,"Implemented")</x:f>
        <x:v>0</x:v>
      </x:c>
      <x:c r="F15" t="n">
        <x:f>COUNTIFS(Checks!$B$6:$B$35,A15,Checks!$D$6:$D$35,"Partial")</x:f>
        <x:v>0</x:v>
      </x:c>
      <x:c r="G15" t="n">
        <x:f>COUNTIFS(Checks!$B$6:$B$35,A15,Checks!$D$6:$D$35,"Not implemented")</x:f>
        <x:v>0</x:v>
      </x:c>
      <x:c r="H15" s="30" t="n">
        <x:f>IF(C15=0,"",D15/C15)</x:f>
        <x:v>0</x:v>
      </x:c>
      <x:c r="I15" s="30" t="str">
        <x:f>IF(D15=0,"",(E15+0.5*F15)/D15)</x:f>
      </x:c>
    </x:row>
    <x:row r="16" ht="21" customHeight="1">
      <x:c r="H16" s="30"/>
      <x:c r="I16" s="30"/>
    </x:row>
    <x:row r="17" ht="21" customHeight="1">
      <x:c r="A17" s="32" t="str">
        <x:v>OVERALL</x:v>
      </x:c>
      <x:c r="B17" s="32" t="n">
        <x:f>SUM(B6:B15)</x:f>
        <x:v>30</x:v>
      </x:c>
      <x:c r="C17" s="32" t="n">
        <x:f>SUM(C6:C15)</x:f>
        <x:v>30</x:v>
      </x:c>
      <x:c r="D17" s="32" t="n">
        <x:f>SUM(D6:D15)</x:f>
        <x:v>0</x:v>
      </x:c>
      <x:c r="E17" s="32" t="n">
        <x:f>SUM(E6:E15)</x:f>
        <x:v>0</x:v>
      </x:c>
      <x:c r="F17" s="32" t="n">
        <x:f>SUM(F6:F15)</x:f>
        <x:v>0</x:v>
      </x:c>
      <x:c r="G17" s="32" t="n">
        <x:f>SUM(G6:G15)</x:f>
        <x:v>0</x:v>
      </x:c>
      <x:c r="H17" s="34" t="n">
        <x:f>IF(C17=0,"",D17/C17)</x:f>
        <x:v>0</x:v>
      </x:c>
      <x:c r="I17" s="34" t="str">
        <x:f>IF(D17=0,"",(E17+0.5*F17)/D17)</x:f>
      </x:c>
    </x:row>
    <x:row r="18" ht="21" customHeight="1"/>
    <x:row r="19" ht="21" customHeight="1">
      <x:c r="A19" t="str">
        <x:v>Interpretation</x:v>
      </x:c>
      <x:c r="B19" t="str">
        <x:f>IF(D17=0,"NOT ASSESSED: no control statuses have been evaluated","Practice scoring only; not a standard compliance determination")</x:f>
        <x:v>NOT ASSESSED: no control statuses have been evaluated</x:v>
      </x:c>
    </x:row>
    <x:row r="20" ht="21" customHeight="1"/>
    <x:row r="21" ht="21" customHeight="1">
      <x:c r="A21" t="str">
        <x:v>Meaning</x:v>
      </x:c>
    </x:row>
    <x:row r="22" ht="34" customHeight="1">
      <x:c r="A22" s="26" t="str">
        <x:v>Coverage = number of assessed eligible items / eligible items. Status 'Not applicable' is excluded from eligible.</x:v>
      </x:c>
      <x:c r="B22" s="26"/>
      <x:c r="C22" s="26"/>
      <x:c r="D22" s="26"/>
      <x:c r="E22" s="26"/>
      <x:c r="F22" s="26"/>
      <x:c r="G22" s="26"/>
      <x:c r="H22" s="26"/>
      <x:c r="I22" s="26"/>
    </x:row>
    <x:row r="23" ht="34" customHeight="1">
      <x:c r="A23" s="26" t="str">
        <x:v>Scoring among assessed: Implemented=1, Partial=0.5, Not implemented=0. Unassessed items do not count.</x:v>
      </x:c>
      <x:c r="B23" s="26"/>
      <x:c r="C23" s="26"/>
      <x:c r="D23" s="26"/>
      <x:c r="E23" s="26"/>
      <x:c r="F23" s="26"/>
      <x:c r="G23" s="26"/>
      <x:c r="H23" s="26"/>
      <x:c r="I23" s="26"/>
    </x:row>
    <x:row r="24" ht="34" customHeight="1">
      <x:c r="A24" s="26" t="str">
        <x:v>Real audit evidence, appropriate technical criteria, auditor review, and full access to relevant standards would be required.</x:v>
      </x:c>
      <x:c r="B24" s="26"/>
      <x:c r="C24" s="26"/>
      <x:c r="D24" s="26"/>
      <x:c r="E24" s="26"/>
      <x:c r="F24" s="26"/>
      <x:c r="G24" s="26"/>
      <x:c r="H24" s="26"/>
      <x:c r="I24" s="26"/>
    </x:row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J2"/>
    <x:mergeCell ref="A3:J3"/>
    <x:mergeCell ref="B19:I19"/>
    <x:mergeCell ref="A22:I22"/>
    <x:mergeCell ref="A23:I23"/>
    <x:mergeCell ref="A24:I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1" customHeight="1">
      <x:c r="A1" s="4" t="str">
        <x:v>STATUS TEST CASES</x:v>
      </x:c>
      <x:c r="B1" s="4"/>
      <x:c r="C1" s="4"/>
      <x:c r="D1" s="4"/>
      <x:c r="E1" s="4"/>
    </x:row>
    <x:row r="2" ht="21" customHeight="1">
      <x:c r="A2" s="4"/>
      <x:c r="B2" s="4"/>
      <x:c r="C2" s="4"/>
      <x:c r="D2" s="4"/>
      <x:c r="E2" s="4"/>
    </x:row>
    <x:row r="3" ht="21" customHeight="1">
      <x:c r="A3" s="11" t="str">
        <x:v>All five editable statuses tested; an unassessed entry must never be counted as a zero score.</x:v>
      </x:c>
      <x:c r="B3" s="11"/>
      <x:c r="C3" s="11"/>
      <x:c r="D3" s="11"/>
      <x:c r="E3" s="11"/>
    </x:row>
    <x:row r="4" ht="21" customHeight="1"/>
    <x:row r="5" ht="29" customHeight="1">
      <x:c r="A5" s="19" t="str">
        <x:v>Status</x:v>
      </x:c>
      <x:c r="B5" s="19" t="str">
        <x:v>Expected</x:v>
      </x:c>
      <x:c r="C5" s="19" t="str">
        <x:v>Computed score</x:v>
      </x:c>
      <x:c r="D5" s="19" t="str">
        <x:v>Test</x:v>
      </x:c>
    </x:row>
    <x:row r="6" ht="21" customHeight="1">
      <x:c r="A6" t="str">
        <x:v>Implemented</x:v>
      </x:c>
      <x:c r="B6" t="n">
        <x:v>1</x:v>
      </x:c>
      <x:c r="C6" t="n">
        <x:f>IF(OR(A6="",A6="Not assessed",A6="Not applicable"),"",IF(A6="Implemented",1,IF(A6="Partial",0.5,IF(A6="Not implemented",0,""))))</x:f>
        <x:v>1</x:v>
      </x:c>
      <x:c r="D6" t="str">
        <x:f>IF(AND(B6="",C6=""),"PASS",IF(ABS(B6-C6)&lt;0.0000001,"PASS","FAIL"))</x:f>
        <x:v>PASS</x:v>
      </x:c>
    </x:row>
    <x:row r="7" ht="21" customHeight="1">
      <x:c r="A7" t="str">
        <x:v>Partial</x:v>
      </x:c>
      <x:c r="B7" t="n">
        <x:v>0.5</x:v>
      </x:c>
      <x:c r="C7" t="n">
        <x:f>IF(OR(A7="",A7="Not assessed",A7="Not applicable"),"",IF(A7="Implemented",1,IF(A7="Partial",0.5,IF(A7="Not implemented",0,""))))</x:f>
        <x:v>0.5</x:v>
      </x:c>
      <x:c r="D7" t="str">
        <x:f>IF(AND(B7="",C7=""),"PASS",IF(ABS(B7-C7)&lt;0.0000001,"PASS","FAIL"))</x:f>
        <x:v>PASS</x:v>
      </x:c>
    </x:row>
    <x:row r="8" ht="21" customHeight="1">
      <x:c r="A8" t="str">
        <x:v>Not implemented</x:v>
      </x:c>
      <x:c r="B8" t="n">
        <x:v>0</x:v>
      </x:c>
      <x:c r="C8" t="n">
        <x:f>IF(OR(A8="",A8="Not assessed",A8="Not applicable"),"",IF(A8="Implemented",1,IF(A8="Partial",0.5,IF(A8="Not implemented",0,""))))</x:f>
        <x:v>0</x:v>
      </x:c>
      <x:c r="D8" t="str">
        <x:f>IF(AND(B8="",C8=""),"PASS",IF(ABS(B8-C8)&lt;0.0000001,"PASS","FAIL"))</x:f>
        <x:v>PASS</x:v>
      </x:c>
    </x:row>
    <x:row r="9" ht="21" customHeight="1">
      <x:c r="A9" t="str">
        <x:v>Not assessed</x:v>
      </x:c>
      <x:c r="B9"/>
      <x:c r="C9" t="str">
        <x:f>IF(OR(A9="",A9="Not assessed",A9="Not applicable"),"",IF(A9="Implemented",1,IF(A9="Partial",0.5,IF(A9="Not implemented",0,""))))</x:f>
      </x:c>
      <x:c r="D9" t="str">
        <x:f>IF(AND(B9="",C9=""),"PASS",IF(ABS(B9-C9)&lt;0.0000001,"PASS","FAIL"))</x:f>
        <x:v>PASS</x:v>
      </x:c>
    </x:row>
    <x:row r="10" ht="21" customHeight="1">
      <x:c r="A10" t="str">
        <x:v>Not applicable</x:v>
      </x:c>
      <x:c r="B10"/>
      <x:c r="C10" t="str">
        <x:f>IF(OR(A10="",A10="Not assessed",A10="Not applicable"),"",IF(A10="Implemented",1,IF(A10="Partial",0.5,IF(A10="Not implemented",0,""))))</x:f>
      </x:c>
      <x:c r="D10" t="str">
        <x:f>IF(AND(B10="",C10=""),"PASS",IF(ABS(B10-C10)&lt;0.0000001,"PASS","FAIL"))</x:f>
        <x:v>PASS</x:v>
      </x:c>
    </x:row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E2"/>
    <x:mergeCell ref="A3:E3"/>
  </x:mergeCells>
  <x:pageMargins left="0.7" right="0.7" top="0.75" bottom="0.75" header="0.3" footer="0.3"/>
</x:worksheet>
</file>