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066fb9012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b3f1319a89284dce"/>
    <x:sheet xmlns:r="http://schemas.openxmlformats.org/officeDocument/2006/relationships" name="Risk Matrix" sheetId="2" r:id="Rdc5246fc61034a21"/>
    <x:sheet xmlns:r="http://schemas.openxmlformats.org/officeDocument/2006/relationships" name="Summary" sheetId="3" r:id="Rf2a7372a64fa48ad"/>
    <x:sheet xmlns:r="http://schemas.openxmlformats.org/officeDocument/2006/relationships" name="Examples &amp; Tests" sheetId="4" r:id="Rb534c9a7704d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253546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538"/>
      </x:patternFill>
    </x:fill>
    <x:fill>
      <x:patternFill patternType="solid">
        <x:fgColor rgb="FFD9F1F2"/>
      </x:patternFill>
    </x:fill>
    <x:fill>
      <x:patternFill patternType="solid">
        <x:fgColor rgb="FF136B76"/>
      </x:patternFill>
    </x:fill>
    <x:fill>
      <x:patternFill patternType="solid">
        <x:fgColor rgb="FFFFF4D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407e63f6f4a55" /><Relationship Type="http://schemas.openxmlformats.org/officeDocument/2006/relationships/theme" Target="/xl/theme/theme1.xml" Id="Rd805d92e10954d0b" /><Relationship Type="http://schemas.openxmlformats.org/officeDocument/2006/relationships/sharedStrings" Target="/xl/sharedStrings.xml" Id="R6b213249cf294712" /><Relationship Type="http://schemas.openxmlformats.org/officeDocument/2006/relationships/worksheet" Target="/xl/worksheets/sheet1.xml" Id="Rb3f1319a89284dce" /><Relationship Type="http://schemas.openxmlformats.org/officeDocument/2006/relationships/worksheet" Target="/xl/worksheets/sheet2.xml" Id="Rdc5246fc61034a21" /><Relationship Type="http://schemas.openxmlformats.org/officeDocument/2006/relationships/worksheet" Target="/xl/worksheets/sheet3.xml" Id="Rf2a7372a64fa48ad" /><Relationship Type="http://schemas.openxmlformats.org/officeDocument/2006/relationships/worksheet" Target="/xl/worksheets/sheet4.xml" Id="Rb534c9a7704d47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32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36" hidden="0" customWidth="1"/>
    <x:col min="10" max="10" width="19" hidden="0" customWidth="1"/>
    <x:col min="11" max="11" width="32" hidden="0" customWidth="1"/>
  </x:cols>
  <x:sheetData>
    <x:row r="1" ht="21" customHeight="1">
      <x:c r="A1" s="4" t="str">
        <x:v>DATA CENTER RISK REGISTER | PRACTICE MODEL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1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1" customHeight="1">
      <x:c r="A3" s="11" t="str">
        <x:v>Transparent 5x5 prioritization; blank facility register. Scores are illustrative, not an ISO 22237 certification.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21" customHeight="1"/>
    <x:row r="5" ht="29" customHeight="1">
      <x:c r="A5" s="19" t="str">
        <x:v>ID</x:v>
      </x:c>
      <x:c r="B5" s="19" t="str">
        <x:v>Asset / location</x:v>
      </x:c>
      <x:c r="C5" s="19" t="str">
        <x:v>Scenario / threat</x:v>
      </x:c>
      <x:c r="D5" s="19" t="str">
        <x:v>Existing safeguards</x:v>
      </x:c>
      <x:c r="E5" s="19" t="str">
        <x:v>Likelihood 1–5</x:v>
      </x:c>
      <x:c r="F5" s="19" t="str">
        <x:v>Impact 1–5</x:v>
      </x:c>
      <x:c r="G5" s="19" t="str">
        <x:v>Risk score</x:v>
      </x:c>
      <x:c r="H5" s="19" t="str">
        <x:v>Band</x:v>
      </x:c>
      <x:c r="I5" s="19" t="str">
        <x:v>Proposed action</x:v>
      </x:c>
      <x:c r="J5" s="19" t="str">
        <x:v>Owner</x:v>
      </x:c>
      <x:c r="K5" s="19" t="str">
        <x:v>Evidence / notes</x:v>
      </x:c>
    </x:row>
    <x:row r="6" ht="37" customHeight="1">
      <x:c r="A6" t="str">
        <x:v>R-01</x:v>
      </x:c>
      <x:c r="B6" s="26"/>
      <x:c r="C6" s="26"/>
      <x:c r="D6" s="26"/>
      <x:c r="E6" s="26"/>
      <x:c r="F6" s="26"/>
      <x:c r="G6" s="27" t="str">
        <x:f>IF(OR(E6="",F6=""),"",E6*F6)</x:f>
      </x:c>
      <x:c r="H6" s="27" t="str">
        <x:f>IF(G6="","Not assessed",IF(G6&gt;=20,"Very High",IF(G6&gt;=15,"High",IF(G6&gt;=6,"Moderate","Low"))))</x:f>
        <x:v>Not assessed</x:v>
      </x:c>
      <x:c r="I6" s="26"/>
      <x:c r="J6" s="26"/>
      <x:c r="K6" s="26"/>
    </x:row>
    <x:row r="7" ht="37" customHeight="1">
      <x:c r="A7" t="str">
        <x:v>R-02</x:v>
      </x:c>
      <x:c r="B7" s="26"/>
      <x:c r="C7" s="26"/>
      <x:c r="D7" s="26"/>
      <x:c r="E7" s="26"/>
      <x:c r="F7" s="26"/>
      <x:c r="G7" s="27" t="str">
        <x:f>IF(OR(E7="",F7=""),"",E7*F7)</x:f>
      </x:c>
      <x:c r="H7" s="27" t="str">
        <x:f>IF(G7="","Not assessed",IF(G7&gt;=20,"Very High",IF(G7&gt;=15,"High",IF(G7&gt;=6,"Moderate","Low"))))</x:f>
        <x:v>Not assessed</x:v>
      </x:c>
      <x:c r="I7" s="26"/>
      <x:c r="J7" s="26"/>
      <x:c r="K7" s="26"/>
    </x:row>
    <x:row r="8" ht="37" customHeight="1">
      <x:c r="A8" t="str">
        <x:v>R-03</x:v>
      </x:c>
      <x:c r="B8" s="26"/>
      <x:c r="C8" s="26"/>
      <x:c r="D8" s="26"/>
      <x:c r="E8" s="26"/>
      <x:c r="F8" s="26"/>
      <x:c r="G8" s="27" t="str">
        <x:f>IF(OR(E8="",F8=""),"",E8*F8)</x:f>
      </x:c>
      <x:c r="H8" s="27" t="str">
        <x:f>IF(G8="","Not assessed",IF(G8&gt;=20,"Very High",IF(G8&gt;=15,"High",IF(G8&gt;=6,"Moderate","Low"))))</x:f>
        <x:v>Not assessed</x:v>
      </x:c>
      <x:c r="I8" s="26"/>
      <x:c r="J8" s="26"/>
      <x:c r="K8" s="26"/>
    </x:row>
    <x:row r="9" ht="37" customHeight="1">
      <x:c r="A9" t="str">
        <x:v>R-04</x:v>
      </x:c>
      <x:c r="B9" s="26"/>
      <x:c r="C9" s="26"/>
      <x:c r="D9" s="26"/>
      <x:c r="E9" s="26"/>
      <x:c r="F9" s="26"/>
      <x:c r="G9" s="27" t="str">
        <x:f>IF(OR(E9="",F9=""),"",E9*F9)</x:f>
      </x:c>
      <x:c r="H9" s="27" t="str">
        <x:f>IF(G9="","Not assessed",IF(G9&gt;=20,"Very High",IF(G9&gt;=15,"High",IF(G9&gt;=6,"Moderate","Low"))))</x:f>
        <x:v>Not assessed</x:v>
      </x:c>
      <x:c r="I9" s="26"/>
      <x:c r="J9" s="26"/>
      <x:c r="K9" s="26"/>
    </x:row>
    <x:row r="10" ht="37" customHeight="1">
      <x:c r="A10" t="str">
        <x:v>R-05</x:v>
      </x:c>
      <x:c r="B10" s="26"/>
      <x:c r="C10" s="26"/>
      <x:c r="D10" s="26"/>
      <x:c r="E10" s="26"/>
      <x:c r="F10" s="26"/>
      <x:c r="G10" s="27" t="str">
        <x:f>IF(OR(E10="",F10=""),"",E10*F10)</x:f>
      </x:c>
      <x:c r="H10" s="27" t="str">
        <x:f>IF(G10="","Not assessed",IF(G10&gt;=20,"Very High",IF(G10&gt;=15,"High",IF(G10&gt;=6,"Moderate","Low"))))</x:f>
        <x:v>Not assessed</x:v>
      </x:c>
      <x:c r="I10" s="26"/>
      <x:c r="J10" s="26"/>
      <x:c r="K10" s="26"/>
    </x:row>
    <x:row r="11" ht="37" customHeight="1">
      <x:c r="A11" t="str">
        <x:v>R-06</x:v>
      </x:c>
      <x:c r="B11" s="26"/>
      <x:c r="C11" s="26"/>
      <x:c r="D11" s="26"/>
      <x:c r="E11" s="26"/>
      <x:c r="F11" s="26"/>
      <x:c r="G11" s="27" t="str">
        <x:f>IF(OR(E11="",F11=""),"",E11*F11)</x:f>
      </x:c>
      <x:c r="H11" s="27" t="str">
        <x:f>IF(G11="","Not assessed",IF(G11&gt;=20,"Very High",IF(G11&gt;=15,"High",IF(G11&gt;=6,"Moderate","Low"))))</x:f>
        <x:v>Not assessed</x:v>
      </x:c>
      <x:c r="I11" s="26"/>
      <x:c r="J11" s="26"/>
      <x:c r="K11" s="26"/>
    </x:row>
    <x:row r="12" ht="37" customHeight="1">
      <x:c r="A12" t="str">
        <x:v>R-07</x:v>
      </x:c>
      <x:c r="B12" s="26"/>
      <x:c r="C12" s="26"/>
      <x:c r="D12" s="26"/>
      <x:c r="E12" s="26"/>
      <x:c r="F12" s="26"/>
      <x:c r="G12" s="27" t="str">
        <x:f>IF(OR(E12="",F12=""),"",E12*F12)</x:f>
      </x:c>
      <x:c r="H12" s="27" t="str">
        <x:f>IF(G12="","Not assessed",IF(G12&gt;=20,"Very High",IF(G12&gt;=15,"High",IF(G12&gt;=6,"Moderate","Low"))))</x:f>
        <x:v>Not assessed</x:v>
      </x:c>
      <x:c r="I12" s="26"/>
      <x:c r="J12" s="26"/>
      <x:c r="K12" s="26"/>
    </x:row>
    <x:row r="13" ht="37" customHeight="1">
      <x:c r="A13" t="str">
        <x:v>R-08</x:v>
      </x:c>
      <x:c r="B13" s="26"/>
      <x:c r="C13" s="26"/>
      <x:c r="D13" s="26"/>
      <x:c r="E13" s="26"/>
      <x:c r="F13" s="26"/>
      <x:c r="G13" s="27" t="str">
        <x:f>IF(OR(E13="",F13=""),"",E13*F13)</x:f>
      </x:c>
      <x:c r="H13" s="27" t="str">
        <x:f>IF(G13="","Not assessed",IF(G13&gt;=20,"Very High",IF(G13&gt;=15,"High",IF(G13&gt;=6,"Moderate","Low"))))</x:f>
        <x:v>Not assessed</x:v>
      </x:c>
      <x:c r="I13" s="26"/>
      <x:c r="J13" s="26"/>
      <x:c r="K13" s="26"/>
    </x:row>
    <x:row r="14" ht="37" customHeight="1">
      <x:c r="A14" t="str">
        <x:v>R-09</x:v>
      </x:c>
      <x:c r="B14" s="26"/>
      <x:c r="C14" s="26"/>
      <x:c r="D14" s="26"/>
      <x:c r="E14" s="26"/>
      <x:c r="F14" s="26"/>
      <x:c r="G14" s="27" t="str">
        <x:f>IF(OR(E14="",F14=""),"",E14*F14)</x:f>
      </x:c>
      <x:c r="H14" s="27" t="str">
        <x:f>IF(G14="","Not assessed",IF(G14&gt;=20,"Very High",IF(G14&gt;=15,"High",IF(G14&gt;=6,"Moderate","Low"))))</x:f>
        <x:v>Not assessed</x:v>
      </x:c>
      <x:c r="I14" s="26"/>
      <x:c r="J14" s="26"/>
      <x:c r="K14" s="26"/>
    </x:row>
    <x:row r="15" ht="37" customHeight="1">
      <x:c r="A15" t="str">
        <x:v>R-10</x:v>
      </x:c>
      <x:c r="B15" s="26"/>
      <x:c r="C15" s="26"/>
      <x:c r="D15" s="26"/>
      <x:c r="E15" s="26"/>
      <x:c r="F15" s="26"/>
      <x:c r="G15" s="27" t="str">
        <x:f>IF(OR(E15="",F15=""),"",E15*F15)</x:f>
      </x:c>
      <x:c r="H15" s="27" t="str">
        <x:f>IF(G15="","Not assessed",IF(G15&gt;=20,"Very High",IF(G15&gt;=15,"High",IF(G15&gt;=6,"Moderate","Low"))))</x:f>
        <x:v>Not assessed</x:v>
      </x:c>
      <x:c r="I15" s="26"/>
      <x:c r="J15" s="26"/>
      <x:c r="K15" s="26"/>
    </x:row>
    <x:row r="16" ht="37" customHeight="1">
      <x:c r="A16" t="str">
        <x:v>R-11</x:v>
      </x:c>
      <x:c r="B16" s="26"/>
      <x:c r="C16" s="26"/>
      <x:c r="D16" s="26"/>
      <x:c r="E16" s="26"/>
      <x:c r="F16" s="26"/>
      <x:c r="G16" s="27" t="str">
        <x:f>IF(OR(E16="",F16=""),"",E16*F16)</x:f>
      </x:c>
      <x:c r="H16" s="27" t="str">
        <x:f>IF(G16="","Not assessed",IF(G16&gt;=20,"Very High",IF(G16&gt;=15,"High",IF(G16&gt;=6,"Moderate","Low"))))</x:f>
        <x:v>Not assessed</x:v>
      </x:c>
      <x:c r="I16" s="26"/>
      <x:c r="J16" s="26"/>
      <x:c r="K16" s="26"/>
    </x:row>
    <x:row r="17" ht="37" customHeight="1">
      <x:c r="A17" t="str">
        <x:v>R-12</x:v>
      </x:c>
      <x:c r="B17" s="26"/>
      <x:c r="C17" s="26"/>
      <x:c r="D17" s="26"/>
      <x:c r="E17" s="26"/>
      <x:c r="F17" s="26"/>
      <x:c r="G17" s="27" t="str">
        <x:f>IF(OR(E17="",F17=""),"",E17*F17)</x:f>
      </x:c>
      <x:c r="H17" s="27" t="str">
        <x:f>IF(G17="","Not assessed",IF(G17&gt;=20,"Very High",IF(G17&gt;=15,"High",IF(G17&gt;=6,"Moderate","Low"))))</x:f>
        <x:v>Not assessed</x:v>
      </x:c>
      <x:c r="I17" s="26"/>
      <x:c r="J17" s="26"/>
      <x:c r="K17" s="26"/>
    </x:row>
    <x:row r="18" ht="37" customHeight="1">
      <x:c r="A18" t="str">
        <x:v>R-13</x:v>
      </x:c>
      <x:c r="B18" s="26"/>
      <x:c r="C18" s="26"/>
      <x:c r="D18" s="26"/>
      <x:c r="E18" s="26"/>
      <x:c r="F18" s="26"/>
      <x:c r="G18" s="27" t="str">
        <x:f>IF(OR(E18="",F18=""),"",E18*F18)</x:f>
      </x:c>
      <x:c r="H18" s="27" t="str">
        <x:f>IF(G18="","Not assessed",IF(G18&gt;=20,"Very High",IF(G18&gt;=15,"High",IF(G18&gt;=6,"Moderate","Low"))))</x:f>
        <x:v>Not assessed</x:v>
      </x:c>
      <x:c r="I18" s="26"/>
      <x:c r="J18" s="26"/>
      <x:c r="K18" s="26"/>
    </x:row>
    <x:row r="19" ht="37" customHeight="1">
      <x:c r="A19" t="str">
        <x:v>R-14</x:v>
      </x:c>
      <x:c r="B19" s="26"/>
      <x:c r="C19" s="26"/>
      <x:c r="D19" s="26"/>
      <x:c r="E19" s="26"/>
      <x:c r="F19" s="26"/>
      <x:c r="G19" s="27" t="str">
        <x:f>IF(OR(E19="",F19=""),"",E19*F19)</x:f>
      </x:c>
      <x:c r="H19" s="27" t="str">
        <x:f>IF(G19="","Not assessed",IF(G19&gt;=20,"Very High",IF(G19&gt;=15,"High",IF(G19&gt;=6,"Moderate","Low"))))</x:f>
        <x:v>Not assessed</x:v>
      </x:c>
      <x:c r="I19" s="26"/>
      <x:c r="J19" s="26"/>
      <x:c r="K19" s="26"/>
    </x:row>
    <x:row r="20" ht="37" customHeight="1">
      <x:c r="A20" t="str">
        <x:v>R-15</x:v>
      </x:c>
      <x:c r="B20" s="26"/>
      <x:c r="C20" s="26"/>
      <x:c r="D20" s="26"/>
      <x:c r="E20" s="26"/>
      <x:c r="F20" s="26"/>
      <x:c r="G20" s="27" t="str">
        <x:f>IF(OR(E20="",F20=""),"",E20*F20)</x:f>
      </x:c>
      <x:c r="H20" s="27" t="str">
        <x:f>IF(G20="","Not assessed",IF(G20&gt;=20,"Very High",IF(G20&gt;=15,"High",IF(G20&gt;=6,"Moderate","Low"))))</x:f>
        <x:v>Not assessed</x:v>
      </x:c>
      <x:c r="I20" s="26"/>
      <x:c r="J20" s="26"/>
      <x:c r="K20" s="26"/>
    </x:row>
    <x:row r="21" ht="37" customHeight="1">
      <x:c r="A21" t="str">
        <x:v>R-16</x:v>
      </x:c>
      <x:c r="B21" s="26"/>
      <x:c r="C21" s="26"/>
      <x:c r="D21" s="26"/>
      <x:c r="E21" s="26"/>
      <x:c r="F21" s="26"/>
      <x:c r="G21" s="27" t="str">
        <x:f>IF(OR(E21="",F21=""),"",E21*F21)</x:f>
      </x:c>
      <x:c r="H21" s="27" t="str">
        <x:f>IF(G21="","Not assessed",IF(G21&gt;=20,"Very High",IF(G21&gt;=15,"High",IF(G21&gt;=6,"Moderate","Low"))))</x:f>
        <x:v>Not assessed</x:v>
      </x:c>
      <x:c r="I21" s="26"/>
      <x:c r="J21" s="26"/>
      <x:c r="K21" s="26"/>
    </x:row>
    <x:row r="22" ht="37" customHeight="1">
      <x:c r="A22" t="str">
        <x:v>R-17</x:v>
      </x:c>
      <x:c r="B22" s="26"/>
      <x:c r="C22" s="26"/>
      <x:c r="D22" s="26"/>
      <x:c r="E22" s="26"/>
      <x:c r="F22" s="26"/>
      <x:c r="G22" s="27" t="str">
        <x:f>IF(OR(E22="",F22=""),"",E22*F22)</x:f>
      </x:c>
      <x:c r="H22" s="27" t="str">
        <x:f>IF(G22="","Not assessed",IF(G22&gt;=20,"Very High",IF(G22&gt;=15,"High",IF(G22&gt;=6,"Moderate","Low"))))</x:f>
        <x:v>Not assessed</x:v>
      </x:c>
      <x:c r="I22" s="26"/>
      <x:c r="J22" s="26"/>
      <x:c r="K22" s="26"/>
    </x:row>
    <x:row r="23" ht="37" customHeight="1">
      <x:c r="A23" t="str">
        <x:v>R-18</x:v>
      </x:c>
      <x:c r="B23" s="26"/>
      <x:c r="C23" s="26"/>
      <x:c r="D23" s="26"/>
      <x:c r="E23" s="26"/>
      <x:c r="F23" s="26"/>
      <x:c r="G23" s="27" t="str">
        <x:f>IF(OR(E23="",F23=""),"",E23*F23)</x:f>
      </x:c>
      <x:c r="H23" s="27" t="str">
        <x:f>IF(G23="","Not assessed",IF(G23&gt;=20,"Very High",IF(G23&gt;=15,"High",IF(G23&gt;=6,"Moderate","Low"))))</x:f>
        <x:v>Not assessed</x:v>
      </x:c>
      <x:c r="I23" s="26"/>
      <x:c r="J23" s="26"/>
      <x:c r="K23" s="26"/>
    </x:row>
    <x:row r="24" ht="37" customHeight="1">
      <x:c r="A24" t="str">
        <x:v>R-19</x:v>
      </x:c>
      <x:c r="B24" s="26"/>
      <x:c r="C24" s="26"/>
      <x:c r="D24" s="26"/>
      <x:c r="E24" s="26"/>
      <x:c r="F24" s="26"/>
      <x:c r="G24" s="27" t="str">
        <x:f>IF(OR(E24="",F24=""),"",E24*F24)</x:f>
      </x:c>
      <x:c r="H24" s="27" t="str">
        <x:f>IF(G24="","Not assessed",IF(G24&gt;=20,"Very High",IF(G24&gt;=15,"High",IF(G24&gt;=6,"Moderate","Low"))))</x:f>
        <x:v>Not assessed</x:v>
      </x:c>
      <x:c r="I24" s="26"/>
      <x:c r="J24" s="26"/>
      <x:c r="K24" s="26"/>
    </x:row>
    <x:row r="25" ht="37" customHeight="1">
      <x:c r="A25" t="str">
        <x:v>R-20</x:v>
      </x:c>
      <x:c r="B25" s="26"/>
      <x:c r="C25" s="26"/>
      <x:c r="D25" s="26"/>
      <x:c r="E25" s="26"/>
      <x:c r="F25" s="26"/>
      <x:c r="G25" s="27" t="str">
        <x:f>IF(OR(E25="",F25=""),"",E25*F25)</x:f>
      </x:c>
      <x:c r="H25" s="27" t="str">
        <x:f>IF(G25="","Not assessed",IF(G25&gt;=20,"Very High",IF(G25&gt;=15,"High",IF(G25&gt;=6,"Moderate","Low"))))</x:f>
        <x:v>Not assessed</x:v>
      </x:c>
      <x:c r="I25" s="26"/>
      <x:c r="J25" s="26"/>
      <x:c r="K25" s="26"/>
    </x:row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K2"/>
    <x:mergeCell ref="A3:K3"/>
  </x:mergeCells>
  <x:dataValidations count="2">
    <x:dataValidation type="list" sqref="E6:E25">
      <x:formula1>"1,2,3,4,5"</x:formula1>
    </x:dataValidation>
    <x:dataValidation type="list" sqref="F6:F25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1" customHeight="1">
      <x:c r="A1" s="4" t="str">
        <x:v>5 × 5 RISK PRIORITIZATION MATRIX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1" customHeight="1">
      <x:c r="A3" s="11" t="str">
        <x:v>Risk = Likelihood × Impact | Low:1–5 · Moderate:6–14 · High:15–19 · Very High:20–25</x:v>
      </x:c>
      <x:c r="B3" s="11"/>
      <x:c r="C3" s="11"/>
      <x:c r="D3" s="11"/>
      <x:c r="E3" s="11"/>
      <x:c r="F3" s="11"/>
      <x:c r="G3" s="11"/>
      <x:c r="H3" s="11"/>
    </x:row>
    <x:row r="4" ht="21" customHeight="1"/>
    <x:row r="5" ht="29" customHeight="1">
      <x:c r="A5" s="19" t="str">
        <x:v>Likelihood / Impact</x:v>
      </x:c>
      <x:c r="B5" s="19" t="n">
        <x:v>1</x:v>
      </x:c>
      <x:c r="C5" s="19" t="n">
        <x:v>2</x:v>
      </x:c>
      <x:c r="D5" s="19" t="n">
        <x:v>3</x:v>
      </x:c>
      <x:c r="E5" s="19" t="n">
        <x:v>4</x:v>
      </x:c>
      <x:c r="F5" s="19" t="n">
        <x:v>5</x:v>
      </x:c>
    </x:row>
    <x:row r="6" ht="32" customHeight="1">
      <x:c r="A6" t="n">
        <x:v>5</x:v>
      </x:c>
      <x:c r="B6" t="n">
        <x:f>$A6*B$5</x:f>
        <x:v>5</x:v>
      </x:c>
      <x:c r="C6" t="n">
        <x:f>$A6*C$5</x:f>
        <x:v>10</x:v>
      </x:c>
      <x:c r="D6" t="n">
        <x:f>$A6*D$5</x:f>
        <x:v>15</x:v>
      </x:c>
      <x:c r="E6" t="n">
        <x:f>$A6*E$5</x:f>
        <x:v>20</x:v>
      </x:c>
      <x:c r="F6" t="n">
        <x:f>$A6*F$5</x:f>
        <x:v>25</x:v>
      </x:c>
    </x:row>
    <x:row r="7" ht="32" customHeight="1">
      <x:c r="A7" t="n">
        <x:v>4</x:v>
      </x:c>
      <x:c r="B7" t="n">
        <x:f>$A7*B$5</x:f>
        <x:v>4</x:v>
      </x:c>
      <x:c r="C7" t="n">
        <x:f>$A7*C$5</x:f>
        <x:v>8</x:v>
      </x:c>
      <x:c r="D7" t="n">
        <x:f>$A7*D$5</x:f>
        <x:v>12</x:v>
      </x:c>
      <x:c r="E7" t="n">
        <x:f>$A7*E$5</x:f>
        <x:v>16</x:v>
      </x:c>
      <x:c r="F7" t="n">
        <x:f>$A7*F$5</x:f>
        <x:v>20</x:v>
      </x:c>
    </x:row>
    <x:row r="8" ht="32" customHeight="1">
      <x:c r="A8" t="n">
        <x:v>3</x:v>
      </x:c>
      <x:c r="B8" t="n">
        <x:f>$A8*B$5</x:f>
        <x:v>3</x:v>
      </x:c>
      <x:c r="C8" t="n">
        <x:f>$A8*C$5</x:f>
        <x:v>6</x:v>
      </x:c>
      <x:c r="D8" t="n">
        <x:f>$A8*D$5</x:f>
        <x:v>9</x:v>
      </x:c>
      <x:c r="E8" t="n">
        <x:f>$A8*E$5</x:f>
        <x:v>12</x:v>
      </x:c>
      <x:c r="F8" t="n">
        <x:f>$A8*F$5</x:f>
        <x:v>15</x:v>
      </x:c>
    </x:row>
    <x:row r="9" ht="32" customHeight="1">
      <x:c r="A9" t="n">
        <x:v>2</x:v>
      </x:c>
      <x:c r="B9" t="n">
        <x:f>$A9*B$5</x:f>
        <x:v>2</x:v>
      </x:c>
      <x:c r="C9" t="n">
        <x:f>$A9*C$5</x:f>
        <x:v>4</x:v>
      </x:c>
      <x:c r="D9" t="n">
        <x:f>$A9*D$5</x:f>
        <x:v>6</x:v>
      </x:c>
      <x:c r="E9" t="n">
        <x:f>$A9*E$5</x:f>
        <x:v>8</x:v>
      </x:c>
      <x:c r="F9" t="n">
        <x:f>$A9*F$5</x:f>
        <x:v>10</x:v>
      </x:c>
    </x:row>
    <x:row r="10" ht="32" customHeight="1">
      <x:c r="A10" t="n">
        <x:v>1</x:v>
      </x:c>
      <x:c r="B10" t="n">
        <x:f>$A10*B$5</x:f>
        <x:v>1</x:v>
      </x:c>
      <x:c r="C10" t="n">
        <x:f>$A10*C$5</x:f>
        <x:v>2</x:v>
      </x:c>
      <x:c r="D10" t="n">
        <x:f>$A10*D$5</x:f>
        <x:v>3</x:v>
      </x:c>
      <x:c r="E10" t="n">
        <x:f>$A10*E$5</x:f>
        <x:v>4</x:v>
      </x:c>
      <x:c r="F10" t="n">
        <x:f>$A10*F$5</x:f>
        <x:v>5</x:v>
      </x:c>
    </x:row>
    <x:row r="11" ht="21" customHeight="1"/>
    <x:row r="12" ht="29" customHeight="1">
      <x:c r="A12" s="19" t="str">
        <x:v>Score range</x:v>
      </x:c>
      <x:c r="B12" s="19" t="str">
        <x:v>Band</x:v>
      </x:c>
      <x:c r="C12" s="19" t="str">
        <x:v>Response (illustrative)</x:v>
      </x:c>
    </x:row>
    <x:row r="13" ht="21" customHeight="1">
      <x:c r="A13" t="str">
        <x:v>1–5</x:v>
      </x:c>
      <x:c r="B13" t="str">
        <x:v>Low</x:v>
      </x:c>
      <x:c r="C13" t="str">
        <x:v>Track</x:v>
      </x:c>
    </x:row>
    <x:row r="14" ht="21" customHeight="1">
      <x:c r="A14" t="str">
        <x:v>6–14</x:v>
      </x:c>
      <x:c r="B14" t="str">
        <x:v>Moderate</x:v>
      </x:c>
      <x:c r="C14" t="str">
        <x:v>Plan mitigation</x:v>
      </x:c>
    </x:row>
    <x:row r="15" ht="21" customHeight="1">
      <x:c r="A15" t="str">
        <x:v>15–19</x:v>
      </x:c>
      <x:c r="B15" t="str">
        <x:v>High</x:v>
      </x:c>
      <x:c r="C15" t="str">
        <x:v>Prioritize review</x:v>
      </x:c>
    </x:row>
    <x:row r="16" ht="21" customHeight="1">
      <x:c r="A16" t="str">
        <x:v>20–25</x:v>
      </x:c>
      <x:c r="B16" t="str">
        <x:v>Very High</x:v>
      </x:c>
      <x:c r="C16" t="str">
        <x:v>Escalate for prompt review</x:v>
      </x:c>
    </x:row>
    <x:row r="17" ht="21" customHeight="1"/>
    <x:row r="18" ht="21" customHeight="1"/>
    <x:row r="19" ht="21" customHeight="1">
      <x:c r="A19" t="str">
        <x:v>IMPORTANT</x:v>
      </x:c>
    </x:row>
    <x:row r="20" ht="21" customHeight="1">
      <x:c r="A20" s="27" t="str">
        <x:v>This is a simplified 5x5 qualitative risk register inspired by the Inixindo course risk-analysis concepts. It is NOT a reproduction of the original workbook's custom 2x2 + 3x3 matrices and does not claim to implement ISO normative risk scoring.</x:v>
      </x:c>
      <x:c r="B20" s="27"/>
      <x:c r="C20" s="27"/>
      <x:c r="D20" s="27"/>
      <x:c r="E20" s="27"/>
      <x:c r="F20" s="27"/>
      <x:c r="G20" s="27"/>
      <x:c r="H20" s="27"/>
    </x:row>
    <x:row r="21" ht="21" customHeight="1">
      <x:c r="A21" s="27"/>
      <x:c r="B21" s="27"/>
      <x:c r="C21" s="27"/>
      <x:c r="D21" s="27"/>
      <x:c r="E21" s="27"/>
      <x:c r="F21" s="27"/>
      <x:c r="G21" s="27"/>
      <x:c r="H21" s="27"/>
    </x:row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H2"/>
    <x:mergeCell ref="A3:H3"/>
    <x:mergeCell ref="A20:H21"/>
  </x:mergeCells>
  <x:conditionalFormatting sqref="B6:F10">
    <x:cfRule type="colorScale" priority="1">
      <x:colorScale>
        <x:cfvo type="min"/>
        <x:cfvo type="percentile" val="50"/>
        <x:cfvo type="max"/>
        <x:color rgb="FFCFEDEA"/>
        <x:color rgb="FFFFF0BF"/>
        <x:color rgb="FFFFB7B2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</x:cols>
  <x:sheetData>
    <x:row r="1" ht="21" customHeight="1">
      <x:c r="A1" s="4" t="str">
        <x:v>RISK STATUS SUMMARY</x:v>
      </x:c>
      <x:c r="B1" s="4"/>
      <x:c r="C1" s="4"/>
      <x:c r="D1" s="4"/>
      <x:c r="E1" s="4"/>
      <x:c r="F1" s="4"/>
    </x:row>
    <x:row r="2" ht="21" customHeight="1">
      <x:c r="A2" s="4"/>
      <x:c r="B2" s="4"/>
      <x:c r="C2" s="4"/>
      <x:c r="D2" s="4"/>
      <x:c r="E2" s="4"/>
      <x:c r="F2" s="4"/>
    </x:row>
    <x:row r="3" ht="21" customHeight="1">
      <x:c r="A3" s="11" t="str">
        <x:v>Counts refer only to the blank editable Risk Register sheet, never the synthetic examples.</x:v>
      </x:c>
      <x:c r="B3" s="11"/>
      <x:c r="C3" s="11"/>
      <x:c r="D3" s="11"/>
      <x:c r="E3" s="11"/>
      <x:c r="F3" s="11"/>
    </x:row>
    <x:row r="4" ht="21" customHeight="1"/>
    <x:row r="5" ht="29" customHeight="1">
      <x:c r="A5" s="19" t="str">
        <x:v>Metric</x:v>
      </x:c>
      <x:c r="B5" s="19" t="str">
        <x:v>Current</x:v>
      </x:c>
    </x:row>
    <x:row r="6" ht="21" customHeight="1">
      <x:c r="A6" t="str">
        <x:v>Assessed scenarios</x:v>
      </x:c>
      <x:c r="B6" t="n">
        <x:f>COUNT('Risk Register'!G6:G25)</x:f>
        <x:v>0</x:v>
      </x:c>
    </x:row>
    <x:row r="7" ht="21" customHeight="1">
      <x:c r="A7" t="str">
        <x:v>Not assessed</x:v>
      </x:c>
      <x:c r="B7" t="n">
        <x:f>COUNTIF('Risk Register'!H6:H25,"Not assessed")</x:f>
        <x:v>20</x:v>
      </x:c>
    </x:row>
    <x:row r="8" ht="21" customHeight="1">
      <x:c r="A8" t="str">
        <x:v>Very High</x:v>
      </x:c>
      <x:c r="B8" t="n">
        <x:f>COUNTIF('Risk Register'!H6:H25,"Very High")</x:f>
        <x:v>0</x:v>
      </x:c>
    </x:row>
    <x:row r="9" ht="21" customHeight="1">
      <x:c r="A9" t="str">
        <x:v>High</x:v>
      </x:c>
      <x:c r="B9" t="n">
        <x:f>COUNTIF('Risk Register'!H6:H25,"High")</x:f>
        <x:v>0</x:v>
      </x:c>
    </x:row>
    <x:row r="10" ht="21" customHeight="1">
      <x:c r="A10" t="str">
        <x:v>Moderate</x:v>
      </x:c>
      <x:c r="B10" t="n">
        <x:f>COUNTIF('Risk Register'!H6:H25,"Moderate")</x:f>
        <x:v>0</x:v>
      </x:c>
    </x:row>
    <x:row r="11" ht="21" customHeight="1">
      <x:c r="A11" t="str">
        <x:v>Low</x:v>
      </x:c>
      <x:c r="B11" t="n">
        <x:f>COUNTIF('Risk Register'!H6:H25,"Low")</x:f>
        <x:v>0</x:v>
      </x:c>
    </x:row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1" customHeight="1">
      <x:c r="A1" s="4" t="str">
        <x:v>SYNTHETIC EXAMPLES / CALCULATION TESTS</x:v>
      </x:c>
      <x:c r="B1" s="4"/>
      <x:c r="C1" s="4"/>
      <x:c r="D1" s="4"/>
      <x:c r="E1" s="4"/>
      <x:c r="F1" s="4"/>
      <x:c r="G1" s="4"/>
      <x:c r="H1" s="4"/>
    </x:row>
    <x:row r="2" ht="21" customHeight="1">
      <x:c r="A2" s="4"/>
      <x:c r="B2" s="4"/>
      <x:c r="C2" s="4"/>
      <x:c r="D2" s="4"/>
      <x:c r="E2" s="4"/>
      <x:c r="F2" s="4"/>
      <x:c r="G2" s="4"/>
      <x:c r="H2" s="4"/>
    </x:row>
    <x:row r="3" ht="21" customHeight="1">
      <x:c r="A3" s="11" t="str">
        <x:v>Hypothetical learning scenarios only, NOT observations from any real facility.</x:v>
      </x:c>
      <x:c r="B3" s="11"/>
      <x:c r="C3" s="11"/>
      <x:c r="D3" s="11"/>
      <x:c r="E3" s="11"/>
      <x:c r="F3" s="11"/>
      <x:c r="G3" s="11"/>
      <x:c r="H3" s="11"/>
    </x:row>
    <x:row r="4" ht="21" customHeight="1"/>
    <x:row r="5" ht="29" customHeight="1">
      <x:c r="A5" s="19" t="str">
        <x:v>Scenario (SYNTHETIC)</x:v>
      </x:c>
      <x:c r="B5" s="19" t="str">
        <x:v>Likelihood</x:v>
      </x:c>
      <x:c r="C5" s="19" t="str">
        <x:v>Impact</x:v>
      </x:c>
      <x:c r="D5" s="19" t="str">
        <x:v>Score</x:v>
      </x:c>
      <x:c r="E5" s="19" t="str">
        <x:v>Band</x:v>
      </x:c>
      <x:c r="F5" s="19" t="str">
        <x:v>Expected score</x:v>
      </x:c>
      <x:c r="G5" s="19" t="str">
        <x:v>Expected band</x:v>
      </x:c>
      <x:c r="H5" s="19" t="str">
        <x:v>Test result</x:v>
      </x:c>
    </x:row>
    <x:row r="6" ht="21" customHeight="1">
      <x:c r="A6" t="str">
        <x:v>UPS transfer failure (illustration)</x:v>
      </x:c>
      <x:c r="B6" t="n">
        <x:v>4</x:v>
      </x:c>
      <x:c r="C6" t="n">
        <x:v>5</x:v>
      </x:c>
      <x:c r="D6" t="n">
        <x:f>IF(OR(B6="",C6=""),"",B6*C6)</x:f>
        <x:v>20</x:v>
      </x:c>
      <x:c r="E6" t="str">
        <x:f>IF(D6="","Not assessed",IF(D6&gt;=20,"Very High",IF(D6&gt;=15,"High",IF(D6&gt;=6,"Moderate","Low"))))</x:f>
        <x:v>Very High</x:v>
      </x:c>
      <x:c r="F6" t="n">
        <x:v>20</x:v>
      </x:c>
      <x:c r="G6" t="str">
        <x:v>Very High</x:v>
      </x:c>
      <x:c r="H6" t="str">
        <x:f>IF(AND(OR(AND(D6="",F6=""),D6=F6),E6=G6),"PASS","FAIL")</x:f>
        <x:v>PASS</x:v>
      </x:c>
    </x:row>
    <x:row r="7" ht="21" customHeight="1">
      <x:c r="A7" t="str">
        <x:v>Cooling hotspot (illustration)</x:v>
      </x:c>
      <x:c r="B7" t="n">
        <x:v>3</x:v>
      </x:c>
      <x:c r="C7" t="n">
        <x:v>5</x:v>
      </x:c>
      <x:c r="D7" t="n">
        <x:f>IF(OR(B7="",C7=""),"",B7*C7)</x:f>
        <x:v>15</x:v>
      </x:c>
      <x:c r="E7" t="str">
        <x:f>IF(D7="","Not assessed",IF(D7&gt;=20,"Very High",IF(D7&gt;=15,"High",IF(D7&gt;=6,"Moderate","Low"))))</x:f>
        <x:v>High</x:v>
      </x:c>
      <x:c r="F7" t="n">
        <x:v>15</x:v>
      </x:c>
      <x:c r="G7" t="str">
        <x:v>High</x:v>
      </x:c>
      <x:c r="H7" t="str">
        <x:f>IF(AND(OR(AND(D7="",F7=""),D7=F7),E7=G7),"PASS","FAIL")</x:f>
        <x:v>PASS</x:v>
      </x:c>
    </x:row>
    <x:row r="8" ht="21" customHeight="1">
      <x:c r="A8" t="str">
        <x:v>Unlabeled cable (illustration)</x:v>
      </x:c>
      <x:c r="B8" t="n">
        <x:v>2</x:v>
      </x:c>
      <x:c r="C8" t="n">
        <x:v>3</x:v>
      </x:c>
      <x:c r="D8" t="n">
        <x:f>IF(OR(B8="",C8=""),"",B8*C8)</x:f>
        <x:v>6</x:v>
      </x:c>
      <x:c r="E8" t="str">
        <x:f>IF(D8="","Not assessed",IF(D8&gt;=20,"Very High",IF(D8&gt;=15,"High",IF(D8&gt;=6,"Moderate","Low"))))</x:f>
        <x:v>Moderate</x:v>
      </x:c>
      <x:c r="F8" t="n">
        <x:v>6</x:v>
      </x:c>
      <x:c r="G8" t="str">
        <x:v>Moderate</x:v>
      </x:c>
      <x:c r="H8" t="str">
        <x:f>IF(AND(OR(AND(D8="",F8=""),D8=F8),E8=G8),"PASS","FAIL")</x:f>
        <x:v>PASS</x:v>
      </x:c>
    </x:row>
    <x:row r="9" ht="21" customHeight="1">
      <x:c r="A9" t="str">
        <x:v>Stale asset inventory (illustration)</x:v>
      </x:c>
      <x:c r="B9" t="n">
        <x:v>1</x:v>
      </x:c>
      <x:c r="C9" t="n">
        <x:v>5</x:v>
      </x:c>
      <x:c r="D9" t="n">
        <x:f>IF(OR(B9="",C9=""),"",B9*C9)</x:f>
        <x:v>5</x:v>
      </x:c>
      <x:c r="E9" t="str">
        <x:f>IF(D9="","Not assessed",IF(D9&gt;=20,"Very High",IF(D9&gt;=15,"High",IF(D9&gt;=6,"Moderate","Low"))))</x:f>
        <x:v>Low</x:v>
      </x:c>
      <x:c r="F9" t="n">
        <x:v>5</x:v>
      </x:c>
      <x:c r="G9" t="str">
        <x:v>Low</x:v>
      </x:c>
      <x:c r="H9" t="str">
        <x:f>IF(AND(OR(AND(D9="",F9=""),D9=F9),E9=G9),"PASS","FAIL")</x:f>
        <x:v>PASS</x:v>
      </x:c>
    </x:row>
    <x:row r="10" ht="21" customHeight="1">
      <x:c r="A10" t="str">
        <x:v>No evidence collected (test)</x:v>
      </x:c>
      <x:c r="B10"/>
      <x:c r="C10" t="n">
        <x:v>3</x:v>
      </x:c>
      <x:c r="D10" t="str">
        <x:f>IF(OR(B10="",C10=""),"",B10*C10)</x:f>
      </x:c>
      <x:c r="E10" t="str">
        <x:f>IF(D10="","Not assessed",IF(D10&gt;=20,"Very High",IF(D10&gt;=15,"High",IF(D10&gt;=6,"Moderate","Low"))))</x:f>
        <x:v>Not assessed</x:v>
      </x:c>
      <x:c r="F10"/>
      <x:c r="G10" t="str">
        <x:v>Not assessed</x:v>
      </x:c>
      <x:c r="H10" t="str">
        <x:f>IF(AND(OR(AND(D10="",F10=""),D10=F10),E10=G10),"PASS","FAIL")</x:f>
        <x:v>PASS</x:v>
      </x:c>
    </x:row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H2"/>
    <x:mergeCell ref="A3:H3"/>
  </x:mergeCells>
  <x:pageMargins left="0.7" right="0.7" top="0.75" bottom="0.75" header="0.3" footer="0.3"/>
</x:worksheet>
</file>