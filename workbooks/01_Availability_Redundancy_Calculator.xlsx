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1896dcaad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3937197334114cf9"/>
    <x:sheet xmlns:r="http://schemas.openxmlformats.org/officeDocument/2006/relationships" name="Tests" sheetId="2" r:id="R19a158f41cbe4c04"/>
    <x:sheet xmlns:r="http://schemas.openxmlformats.org/officeDocument/2006/relationships" name="Methodology" sheetId="3" r:id="R71154191a58e40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%"/>
    <x:numFmt numFmtId="201" formatCode="0.00"/>
    <x:numFmt numFmtId="202" formatCode="0"/>
    <x:numFmt numFmtId="203" formatCode="0.0000000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53546"/>
      <x:name val="Carlito"/>
    </x:font>
    <x:font>
      <x:b/>
      <x:sz val="10"/>
      <x:color rgb="FFFFFFFF"/>
      <x:name val="Carlito"/>
    </x:font>
    <x:font>
      <x:b/>
      <x:sz val="11"/>
      <x:color rgb="FF25354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2538"/>
      </x:patternFill>
    </x:fill>
    <x:fill>
      <x:patternFill patternType="solid">
        <x:fgColor rgb="FFD9F1F2"/>
      </x:patternFill>
    </x:fill>
    <x:fill>
      <x:patternFill patternType="solid">
        <x:fgColor rgb="FF136B76"/>
      </x:patternFill>
    </x:fill>
    <x:fill>
      <x:patternFill patternType="solid">
        <x:fgColor rgb="FFF2F5F8"/>
      </x:patternFill>
    </x:fill>
    <x:fill>
      <x:patternFill patternType="solid">
        <x:fgColor rgb="FFFFF4DB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0" fontId="0" fillId="6" borderId="0" xfId="0" applyNumberFormat="1" applyFont="1" applyFill="1" applyBorder="1"/>
    <x:xf numFmtId="200" fontId="0" fillId="0" borderId="0" xfId="0" applyNumberFormat="1" applyFont="1" applyFill="1" applyBorder="1"/>
    <x:xf numFmtId="200" fontId="4" fillId="3" borderId="0" xfId="0" applyNumberFormat="1" applyFont="1" applyFill="1" applyBorder="1"/>
    <x:xf numFmtId="200" fontId="0" fillId="6" borderId="1" xfId="0" applyNumberFormat="1" applyFont="1" applyFill="1" applyBorder="1"/>
    <x:xf numFmtId="200" fontId="0" fillId="0" borderId="1" xfId="0" applyNumberFormat="1" applyFont="1" applyFill="1" applyBorder="1"/>
    <x:xf numFmtId="200" fontId="4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0dbe55296b452c" /><Relationship Type="http://schemas.openxmlformats.org/officeDocument/2006/relationships/theme" Target="/xl/theme/theme1.xml" Id="Rb182e62d47e24218" /><Relationship Type="http://schemas.openxmlformats.org/officeDocument/2006/relationships/sharedStrings" Target="/xl/sharedStrings.xml" Id="R48f41886039041e9" /><Relationship Type="http://schemas.openxmlformats.org/officeDocument/2006/relationships/worksheet" Target="/xl/worksheets/sheet1.xml" Id="R3937197334114cf9" /><Relationship Type="http://schemas.openxmlformats.org/officeDocument/2006/relationships/worksheet" Target="/xl/worksheets/sheet2.xml" Id="R19a158f41cbe4c04" /><Relationship Type="http://schemas.openxmlformats.org/officeDocument/2006/relationships/worksheet" Target="/xl/worksheets/sheet3.xml" Id="R71154191a58e40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0" hidden="0" customWidth="1"/>
    <x:col min="7" max="7" width="30" hidden="0" customWidth="1"/>
  </x:cols>
  <x:sheetData>
    <x:row r="1" ht="21" customHeight="1">
      <x:c r="A1" s="4" t="str">
        <x:v>AVAILABILITY &amp; REDUNDANCY CALCULATOR</x:v>
      </x:c>
      <x:c r="B1" s="4"/>
      <x:c r="C1" s="4"/>
      <x:c r="D1" s="4"/>
      <x:c r="E1" s="4"/>
      <x:c r="F1" s="4"/>
      <x:c r="G1" s="4"/>
    </x:row>
    <x:row r="2" ht="21" customHeight="1">
      <x:c r="A2" s="4"/>
      <x:c r="B2" s="4"/>
      <x:c r="C2" s="4"/>
      <x:c r="D2" s="4"/>
      <x:c r="E2" s="4"/>
      <x:c r="F2" s="4"/>
      <x:c r="G2" s="4"/>
    </x:row>
    <x:row r="3" ht="21" customHeight="1">
      <x:c r="A3" s="11" t="str">
        <x:v>Educational series + ideal parallel redundancy model | synthetic assumptions, not a facility SLA</x:v>
      </x:c>
      <x:c r="B3" s="11"/>
      <x:c r="C3" s="11"/>
      <x:c r="D3" s="11"/>
      <x:c r="E3" s="11"/>
      <x:c r="F3" s="11"/>
      <x:c r="G3" s="11"/>
    </x:row>
    <x:row r="4" ht="21" customHeight="1"/>
    <x:row r="5" ht="29" customHeight="1">
      <x:c r="A5" s="19" t="str">
        <x:v>Component / Layer</x:v>
      </x:c>
      <x:c r="B5" s="19" t="str">
        <x:v>Single unit (input)</x:v>
      </x:c>
      <x:c r="C5" s="19" t="str">
        <x:v>1+1: 2 units</x:v>
      </x:c>
      <x:c r="D5" s="19" t="str">
        <x:v>3 units</x:v>
      </x:c>
      <x:c r="E5" s="19" t="str">
        <x:v>4 units</x:v>
      </x:c>
    </x:row>
    <x:row r="6" ht="21" customHeight="1">
      <x:c r="A6" t="str">
        <x:v>Web</x:v>
      </x:c>
      <x:c r="B6" s="34" t="n">
        <x:v>0.85</x:v>
      </x:c>
      <x:c r="C6" s="35" t="n">
        <x:f>1-(1-B6)^2</x:f>
        <x:v>0.9775</x:v>
      </x:c>
      <x:c r="D6" s="35" t="n">
        <x:f>1-(1-B6)^3</x:f>
        <x:v>0.996625</x:v>
      </x:c>
      <x:c r="E6" s="35" t="n">
        <x:f>1-(1-B6)^4</x:f>
        <x:v>0.99949375</x:v>
      </x:c>
    </x:row>
    <x:row r="7" ht="21" customHeight="1">
      <x:c r="A7" t="str">
        <x:v>Application</x:v>
      </x:c>
      <x:c r="B7" s="34" t="n">
        <x:v>0.9</x:v>
      </x:c>
      <x:c r="C7" s="35" t="n">
        <x:f>1-(1-B7)^2</x:f>
        <x:v>0.99</x:v>
      </x:c>
      <x:c r="D7" s="35" t="n">
        <x:f>1-(1-B7)^3</x:f>
        <x:v>0.999</x:v>
      </x:c>
      <x:c r="E7" s="35" t="n">
        <x:f>1-(1-B7)^4</x:f>
        <x:v>0.9999</x:v>
      </x:c>
    </x:row>
    <x:row r="8" ht="21" customHeight="1">
      <x:c r="A8" t="str">
        <x:v>Database</x:v>
      </x:c>
      <x:c r="B8" s="34" t="n">
        <x:v>0.999</x:v>
      </x:c>
      <x:c r="C8" s="35" t="n">
        <x:f>1-(1-B8)^2</x:f>
        <x:v>0.999999</x:v>
      </x:c>
      <x:c r="D8" s="35" t="n">
        <x:f>1-(1-B8)^3</x:f>
        <x:v>0.999999999</x:v>
      </x:c>
      <x:c r="E8" s="35" t="n">
        <x:f>1-(1-B8)^4</x:f>
        <x:v>0.999999999999</x:v>
      </x:c>
    </x:row>
    <x:row r="9" ht="21" customHeight="1">
      <x:c r="A9" t="str">
        <x:v>DNS</x:v>
      </x:c>
      <x:c r="B9" s="34" t="n">
        <x:v>0.98</x:v>
      </x:c>
      <x:c r="C9" s="35" t="n">
        <x:f>1-(1-B9)^2</x:f>
        <x:v>0.9996</x:v>
      </x:c>
      <x:c r="D9" s="35" t="n">
        <x:f>1-(1-B9)^3</x:f>
        <x:v>0.999992</x:v>
      </x:c>
      <x:c r="E9" s="35" t="n">
        <x:f>1-(1-B9)^4</x:f>
        <x:v>0.99999984</x:v>
      </x:c>
    </x:row>
    <x:row r="10" ht="21" customHeight="1">
      <x:c r="A10" t="str">
        <x:v>Firewall</x:v>
      </x:c>
      <x:c r="B10" s="34" t="n">
        <x:v>0.85</x:v>
      </x:c>
      <x:c r="C10" s="35" t="n">
        <x:f>1-(1-B10)^2</x:f>
        <x:v>0.9775</x:v>
      </x:c>
      <x:c r="D10" s="35" t="n">
        <x:f>1-(1-B10)^3</x:f>
        <x:v>0.996625</x:v>
      </x:c>
      <x:c r="E10" s="35" t="n">
        <x:f>1-(1-B10)^4</x:f>
        <x:v>0.99949375</x:v>
      </x:c>
    </x:row>
    <x:row r="11" ht="21" customHeight="1">
      <x:c r="A11" t="str">
        <x:v>Switch</x:v>
      </x:c>
      <x:c r="B11" s="34" t="n">
        <x:v>0.99</x:v>
      </x:c>
      <x:c r="C11" s="35" t="n">
        <x:f>1-(1-B11)^2</x:f>
        <x:v>0.9999</x:v>
      </x:c>
      <x:c r="D11" s="35" t="n">
        <x:f>1-(1-B11)^3</x:f>
        <x:v>0.999999</x:v>
      </x:c>
      <x:c r="E11" s="35" t="n">
        <x:f>1-(1-B11)^4</x:f>
        <x:v>0.99999999</x:v>
      </x:c>
    </x:row>
    <x:row r="12" ht="21" customHeight="1">
      <x:c r="A12" t="str">
        <x:v>Data Center (assumed)</x:v>
      </x:c>
      <x:c r="B12" s="34" t="n">
        <x:v>0.9999</x:v>
      </x:c>
      <x:c r="C12" s="35" t="n">
        <x:f>1-(1-B12)^2</x:f>
        <x:v>0.99999999</x:v>
      </x:c>
      <x:c r="D12" s="35" t="n">
        <x:f>1-(1-B12)^3</x:f>
        <x:v>0.999999999999</x:v>
      </x:c>
      <x:c r="E12" s="35" t="n">
        <x:f>1-(1-B12)^4</x:f>
        <x:v>0.9999999999999999</x:v>
      </x:c>
    </x:row>
    <x:row r="13" ht="21" customHeight="1">
      <x:c r="A13" t="str">
        <x:v>ISP</x:v>
      </x:c>
      <x:c r="B13" s="34" t="n">
        <x:v>0.95</x:v>
      </x:c>
      <x:c r="C13" s="35" t="n">
        <x:f>1-(1-B13)^2</x:f>
        <x:v>0.9974999999999999</x:v>
      </x:c>
      <x:c r="D13" s="35" t="n">
        <x:f>1-(1-B13)^3</x:f>
        <x:v>0.999875</x:v>
      </x:c>
      <x:c r="E13" s="35" t="n">
        <x:f>1-(1-B13)^4</x:f>
        <x:v>0.99999375</x:v>
      </x:c>
    </x:row>
    <x:row r="14" ht="21" customHeight="1">
      <x:c r="B14" s="35"/>
      <x:c r="C14" s="35"/>
      <x:c r="D14" s="35"/>
      <x:c r="E14" s="35"/>
    </x:row>
    <x:row r="15" ht="29" customHeight="1">
      <x:c r="A15" s="32" t="str">
        <x:v>SYSTEM AVAILABILITY</x:v>
      </x:c>
      <x:c r="B15" s="36" t="n">
        <x:f>PRODUCT(B6:B13)</x:f>
        <x:v>0.5986697206181423</x:v>
      </x:c>
      <x:c r="C15" s="36" t="n">
        <x:f>PRODUCT(C6:C13)</x:f>
        <x:v>0.9431136015742465</x:v>
      </x:c>
      <x:c r="D15" s="36" t="n">
        <x:f>PRODUCT(D6:D13)</x:f>
        <x:v>0.992135165436169</x:v>
      </x:c>
      <x:c r="E15" s="36" t="n">
        <x:f>PRODUCT(E6:E13)</x:f>
        <x:v>0.9988814446534521</x:v>
      </x:c>
    </x:row>
    <x:row r="16" ht="21" customHeight="1">
      <x:c r="A16" t="str">
        <x:v>Expected down hours/year</x:v>
      </x:c>
      <x:c r="B16" s="40" t="n">
        <x:f>(1-B15)*$B$18</x:f>
        <x:v>3515.653247385074</x:v>
      </x:c>
      <x:c r="C16" s="40" t="n">
        <x:f>(1-C15)*$B$18</x:f>
        <x:v>498.3248502096006</x:v>
      </x:c>
      <x:c r="D16" s="40" t="n">
        <x:f>(1-D15)*$B$18</x:f>
        <x:v>68.89595077915978</x:v>
      </x:c>
      <x:c r="E16" s="40" t="n">
        <x:f>(1-E15)*$B$18</x:f>
        <x:v>9.798544835759802</x:v>
      </x:c>
    </x:row>
    <x:row r="17" ht="21" customHeight="1"/>
    <x:row r="18" ht="21" customHeight="1">
      <x:c r="A18" t="str">
        <x:v>Hours per year (input)</x:v>
      </x:c>
      <x:c r="B18" s="42" t="n">
        <x:v>8760</x:v>
      </x:c>
    </x:row>
    <x:row r="19" ht="21" customHeight="1"/>
    <x:row r="20" ht="21" customHeight="1">
      <x:c r="A20" s="25" t="str">
        <x:v>INPUT NOTES</x:v>
      </x:c>
      <x:c r="B20" s="25"/>
      <x:c r="C20" s="25"/>
      <x:c r="D20" s="25"/>
      <x:c r="E20" s="25"/>
      <x:c r="F20" s="25"/>
      <x:c r="G20" s="25"/>
    </x:row>
    <x:row r="21" ht="30" customHeight="1">
      <x:c r="A21" s="28" t="str">
        <x:v>Edit B6:B13 only to change assumed single-unit availability (decimal 0 to 1).</x:v>
      </x:c>
      <x:c r="B21" s="28"/>
      <x:c r="C21" s="28"/>
      <x:c r="D21" s="28"/>
      <x:c r="E21" s="28"/>
      <x:c r="F21" s="28"/>
      <x:c r="G21" s="28"/>
    </x:row>
    <x:row r="22" ht="30" customHeight="1">
      <x:c r="A22" s="28" t="str">
        <x:v>Calculation: parallel n identical independent units = 1-(1-p)^n; series availability = product across layers.</x:v>
      </x:c>
      <x:c r="B22" s="28"/>
      <x:c r="C22" s="28"/>
      <x:c r="D22" s="28"/>
      <x:c r="E22" s="28"/>
      <x:c r="F22" s="28"/>
      <x:c r="G22" s="28"/>
    </x:row>
    <x:row r="23" ht="30" customHeight="1">
      <x:c r="A23" s="28" t="str">
        <x:v>Cautions: ignores correlated/common-cause failures, repair windows, maintenance, dependencies and failover errors.</x:v>
      </x:c>
      <x:c r="B23" s="28"/>
      <x:c r="C23" s="28"/>
      <x:c r="D23" s="28"/>
      <x:c r="E23" s="28"/>
      <x:c r="F23" s="28"/>
      <x:c r="G23" s="28"/>
    </x:row>
    <x:row r="24" ht="30" customHeight="1">
      <x:c r="A24" s="28" t="str">
        <x:v>Original example rows were used as synthetic inputs; these are NOT measured data center or service metrics.</x:v>
      </x:c>
      <x:c r="B24" s="28"/>
      <x:c r="C24" s="28"/>
      <x:c r="D24" s="28"/>
      <x:c r="E24" s="28"/>
      <x:c r="F24" s="28"/>
      <x:c r="G24" s="28"/>
    </x:row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  <x:row r="51" ht="21" customHeight="1"/>
    <x:row r="52" ht="21" customHeight="1"/>
    <x:row r="53" ht="21" customHeight="1"/>
    <x:row r="54" ht="21" customHeight="1"/>
    <x:row r="55" ht="21" customHeight="1"/>
    <x:row r="56" ht="21" customHeight="1"/>
    <x:row r="57" ht="21" customHeight="1"/>
    <x:row r="58" ht="21" customHeight="1"/>
    <x:row r="59" ht="21" customHeight="1"/>
    <x:row r="60" ht="21" customHeight="1"/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</x:sheetData>
  <x:mergeCells>
    <x:mergeCell ref="A1:G2"/>
    <x:mergeCell ref="A3:G3"/>
    <x:mergeCell ref="A21:G21"/>
    <x:mergeCell ref="A22:G22"/>
    <x:mergeCell ref="A23:G23"/>
    <x:mergeCell ref="A24:G24"/>
  </x:mergeCells>
  <x:dataValidations count="1">
    <x:dataValidation type="decimal" operator="between" sqref="B6:B13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3" hidden="0" customWidth="1"/>
    <x:col min="3" max="3" width="23" hidden="0" customWidth="1"/>
    <x:col min="4" max="4" width="17" hidden="0" customWidth="1"/>
  </x:cols>
  <x:sheetData>
    <x:row r="1" ht="21" customHeight="1">
      <x:c r="A1" s="4" t="str">
        <x:v>TEST CASES</x:v>
      </x:c>
      <x:c r="B1" s="4"/>
      <x:c r="C1" s="4"/>
      <x:c r="D1" s="4"/>
      <x:c r="E1" s="4"/>
      <x:c r="F1" s="4"/>
    </x:row>
    <x:row r="2" ht="21" customHeight="1">
      <x:c r="A2" s="4"/>
      <x:c r="B2" s="4"/>
      <x:c r="C2" s="4"/>
      <x:c r="D2" s="4"/>
      <x:c r="E2" s="4"/>
      <x:c r="F2" s="4"/>
    </x:row>
    <x:row r="3" ht="21" customHeight="1">
      <x:c r="A3" s="11" t="str">
        <x:v>Built-in self-checks; expected values independently calculated from the source's example inputs</x:v>
      </x:c>
      <x:c r="B3" s="11"/>
      <x:c r="C3" s="11"/>
      <x:c r="D3" s="11"/>
      <x:c r="E3" s="11"/>
      <x:c r="F3" s="11"/>
    </x:row>
    <x:row r="4" ht="21" customHeight="1"/>
    <x:row r="5" ht="29" customHeight="1">
      <x:c r="A5" s="19" t="str">
        <x:v>Case</x:v>
      </x:c>
      <x:c r="B5" s="19" t="str">
        <x:v>Expected</x:v>
      </x:c>
      <x:c r="C5" s="19" t="str">
        <x:v>Actual (formula)</x:v>
      </x:c>
      <x:c r="D5" s="19" t="str">
        <x:v>Result</x:v>
      </x:c>
    </x:row>
    <x:row r="6" ht="21" customHeight="1">
      <x:c r="A6" t="str">
        <x:v>1 unit Web</x:v>
      </x:c>
      <x:c r="B6" s="44" t="n">
        <x:v>0.85</x:v>
      </x:c>
      <x:c r="C6" s="44" t="n">
        <x:f>Calculator!B6</x:f>
        <x:v>0.85</x:v>
      </x:c>
      <x:c r="D6" t="str">
        <x:f>IF(ABS(B6-C6)&lt;0.00000001,"PASS","FAIL")</x:f>
        <x:v>PASS</x:v>
      </x:c>
    </x:row>
    <x:row r="7" ht="21" customHeight="1">
      <x:c r="A7" t="str">
        <x:v>2 units Web</x:v>
      </x:c>
      <x:c r="B7" s="44" t="n">
        <x:v>0.9775</x:v>
      </x:c>
      <x:c r="C7" s="44" t="n">
        <x:f>Calculator!C6</x:f>
        <x:v>0.9775</x:v>
      </x:c>
      <x:c r="D7" t="str">
        <x:f>IF(ABS(B7-C7)&lt;0.00000001,"PASS","FAIL")</x:f>
        <x:v>PASS</x:v>
      </x:c>
    </x:row>
    <x:row r="8" ht="21" customHeight="1">
      <x:c r="A8" t="str">
        <x:v>3 units Web</x:v>
      </x:c>
      <x:c r="B8" s="44" t="n">
        <x:v>0.996625</x:v>
      </x:c>
      <x:c r="C8" s="44" t="n">
        <x:f>Calculator!D6</x:f>
        <x:v>0.996625</x:v>
      </x:c>
      <x:c r="D8" t="str">
        <x:f>IF(ABS(B8-C8)&lt;0.00000001,"PASS","FAIL")</x:f>
        <x:v>PASS</x:v>
      </x:c>
    </x:row>
    <x:row r="9" ht="21" customHeight="1">
      <x:c r="A9" t="str">
        <x:v>4 units Web</x:v>
      </x:c>
      <x:c r="B9" s="44" t="n">
        <x:v>0.99949375</x:v>
      </x:c>
      <x:c r="C9" s="44" t="n">
        <x:f>Calculator!E6</x:f>
        <x:v>0.99949375</x:v>
      </x:c>
      <x:c r="D9" t="str">
        <x:f>IF(ABS(B9-C9)&lt;0.00000001,"PASS","FAIL")</x:f>
        <x:v>PASS</x:v>
      </x:c>
    </x:row>
    <x:row r="10" ht="21" customHeight="1">
      <x:c r="A10" t="str">
        <x:v>8-layer system, no redundancy</x:v>
      </x:c>
      <x:c r="B10" s="44" t="n">
        <x:v>0.5986697206181423</x:v>
      </x:c>
      <x:c r="C10" s="44" t="n">
        <x:f>Calculator!B15</x:f>
        <x:v>0.5986697206181423</x:v>
      </x:c>
      <x:c r="D10" t="str">
        <x:f>IF(ABS(B10-C10)&lt;0.00000001,"PASS","FAIL")</x:f>
        <x:v>PASS</x:v>
      </x:c>
    </x:row>
    <x:row r="11" ht="21" customHeight="1"/>
    <x:row r="12" ht="21" customHeight="1"/>
    <x:row r="13" ht="21" customHeight="1"/>
    <x:row r="14" ht="21" customHeight="1"/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  <x:row r="51" ht="21" customHeight="1"/>
    <x:row r="52" ht="21" customHeight="1"/>
    <x:row r="53" ht="21" customHeight="1"/>
    <x:row r="54" ht="21" customHeight="1"/>
    <x:row r="55" ht="21" customHeight="1"/>
    <x:row r="56" ht="21" customHeight="1"/>
    <x:row r="57" ht="21" customHeight="1"/>
    <x:row r="58" ht="21" customHeight="1"/>
    <x:row r="59" ht="21" customHeight="1"/>
    <x:row r="60" ht="21" customHeight="1"/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</x:sheetData>
  <x:mergeCells>
    <x:mergeCell ref="A1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6" hidden="0" customWidth="1"/>
  </x:cols>
  <x:sheetData>
    <x:row r="1" ht="21" customHeight="1">
      <x:c r="A1" s="4" t="str">
        <x:v>MODEL ASSUMPTIONS</x:v>
      </x:c>
      <x:c r="B1" s="4"/>
      <x:c r="C1" s="4"/>
      <x:c r="D1" s="4"/>
      <x:c r="E1" s="4"/>
      <x:c r="F1" s="4"/>
    </x:row>
    <x:row r="2" ht="21" customHeight="1">
      <x:c r="A2" s="4"/>
      <x:c r="B2" s="4"/>
      <x:c r="C2" s="4"/>
      <x:c r="D2" s="4"/>
      <x:c r="E2" s="4"/>
      <x:c r="F2" s="4"/>
    </x:row>
    <x:row r="3" ht="21" customHeight="1">
      <x:c r="A3" s="11" t="str">
        <x:v>No real infrastructure metrics or measured component reliability used</x:v>
      </x:c>
      <x:c r="B3" s="11"/>
      <x:c r="C3" s="11"/>
      <x:c r="D3" s="11"/>
      <x:c r="E3" s="11"/>
      <x:c r="F3" s="11"/>
    </x:row>
    <x:row r="4" ht="21" customHeight="1"/>
    <x:row r="5" ht="29" customHeight="1">
      <x:c r="A5" s="19" t="str">
        <x:v>Parameter</x:v>
      </x:c>
      <x:c r="B5" s="19" t="str">
        <x:v>Definition</x:v>
      </x:c>
    </x:row>
    <x:row r="6" ht="36" customHeight="1">
      <x:c r="A6" t="str">
        <x:v>Availability p</x:v>
      </x:c>
      <x:c r="B6" s="28" t="str">
        <x:v>Assumed probability that one unit is operational at a randomly sampled instant.</x:v>
      </x:c>
    </x:row>
    <x:row r="7" ht="36" customHeight="1">
      <x:c r="A7" t="str">
        <x:v>Independent parallel redundancy</x:v>
      </x:c>
      <x:c r="B7" s="28" t="str">
        <x:v>n units available if any one works, ideal switching, no shared failure cause.</x:v>
      </x:c>
    </x:row>
    <x:row r="8" ht="36" customHeight="1">
      <x:c r="A8" t="str">
        <x:v>Series composition</x:v>
      </x:c>
      <x:c r="B8" s="28" t="str">
        <x:v>System works only if ALL listed layers work; independent layers assumed.</x:v>
      </x:c>
    </x:row>
    <x:row r="9" ht="36" customHeight="1">
      <x:c r="A9" t="str">
        <x:v>Annual downtime</x:v>
      </x:c>
      <x:c r="B9" s="28" t="str">
        <x:v>Expected downtime in hours = (1 - modeled system availability) * hours/year.</x:v>
      </x:c>
    </x:row>
    <x:row r="10" ht="36" customHeight="1">
      <x:c r="A10" t="str">
        <x:v>Input provenance</x:v>
      </x:c>
      <x:c r="B10" s="28" t="str">
        <x:v>Example single-unit inputs adapted from user-provided Calculating Availability.xlsx.</x:v>
      </x:c>
    </x:row>
    <x:row r="11" ht="36" customHeight="1">
      <x:c r="A11" t="str">
        <x:v>Scope</x:v>
      </x:c>
      <x:c r="B11" s="28" t="str">
        <x:v>Educational illustration; no real SLA, ISO class, or AWS environment validated.</x:v>
      </x:c>
    </x:row>
    <x:row r="12" ht="21" customHeight="1"/>
    <x:row r="13" ht="21" customHeight="1"/>
    <x:row r="14" ht="21" customHeight="1"/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  <x:row r="51" ht="21" customHeight="1"/>
    <x:row r="52" ht="21" customHeight="1"/>
    <x:row r="53" ht="21" customHeight="1"/>
    <x:row r="54" ht="21" customHeight="1"/>
    <x:row r="55" ht="21" customHeight="1"/>
    <x:row r="56" ht="21" customHeight="1"/>
    <x:row r="57" ht="21" customHeight="1"/>
    <x:row r="58" ht="21" customHeight="1"/>
    <x:row r="59" ht="21" customHeight="1"/>
    <x:row r="60" ht="21" customHeight="1"/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</x:sheetData>
  <x:mergeCells>
    <x:mergeCell ref="A1:F2"/>
    <x:mergeCell ref="A3:F3"/>
  </x:mergeCells>
  <x:pageMargins left="0.7" right="0.7" top="0.75" bottom="0.75" header="0.3" footer="0.3"/>
</x:worksheet>
</file>